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ijkstra/Dropbox/cpb/git/macro/"/>
    </mc:Choice>
  </mc:AlternateContent>
  <xr:revisionPtr revIDLastSave="0" documentId="13_ncr:1_{1436F67A-4CBB-794E-AC0D-93A4D2683ACA}" xr6:coauthVersionLast="47" xr6:coauthVersionMax="47" xr10:uidLastSave="{00000000-0000-0000-0000-000000000000}"/>
  <bookViews>
    <workbookView xWindow="0" yWindow="500" windowWidth="38400" windowHeight="21100" activeTab="1" xr2:uid="{3104778C-1A82-0B46-BC79-3A4F8C1B0499}"/>
  </bookViews>
  <sheets>
    <sheet name="settings" sheetId="2" r:id="rId1"/>
    <sheet name="figures" sheetId="1" r:id="rId2"/>
    <sheet name="parking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4" authorId="0" shapeId="0" xr:uid="{850D3D29-6DE0-D24D-B3A5-C23A9CBE9AEB}">
      <text>
        <r>
          <rPr>
            <sz val="10"/>
            <color rgb="FF000000"/>
            <rFont val="Tahoma"/>
            <family val="2"/>
          </rPr>
          <t xml:space="preserve">Relative or absolute path to which output is written.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If you leave this empty, the output of your run will be written to subdirectory ./run/run-</t>
        </r>
        <r>
          <rPr>
            <sz val="10"/>
            <color rgb="FF000000"/>
            <rFont val="Aptos Narrow"/>
          </rPr>
          <t>yyyy-mm-dd</t>
        </r>
        <r>
          <rPr>
            <sz val="10"/>
            <color rgb="FF000000"/>
            <rFont val="Tahoma"/>
            <family val="2"/>
          </rPr>
          <t xml:space="preserve">-hh-mm-ss/ (i.e., date and time at the start of your run).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Subdirectories of ${path_run} are:
</t>
        </r>
        <r>
          <rPr>
            <sz val="10"/>
            <color rgb="FF000000"/>
            <rFont val="Tahoma"/>
            <family val="2"/>
          </rPr>
          <t xml:space="preserve">- input/, holding a copy of the input files
</t>
        </r>
        <r>
          <rPr>
            <sz val="10"/>
            <color rgb="FF000000"/>
            <rFont val="Tahoma"/>
            <family val="2"/>
          </rPr>
          <t xml:space="preserve">- figs/, with generated figures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Rerunning the pipeline in a given ${path_run} will speedup the process enormously, because yet existing figures will be skipped in this process.</t>
        </r>
      </text>
    </comment>
    <comment ref="A10" authorId="0" shapeId="0" xr:uid="{8CA3F891-CF18-0A47-818F-B666EF8FF520}">
      <text>
        <r>
          <rPr>
            <sz val="10"/>
            <color rgb="FF000000"/>
            <rFont val="Tahoma"/>
            <family val="2"/>
          </rPr>
          <t>Markdownfile for header of report.</t>
        </r>
      </text>
    </comment>
    <comment ref="A19" authorId="0" shapeId="0" xr:uid="{9999C3C9-E0A9-614A-AC0B-E19C3A684325}">
      <text>
        <r>
          <rPr>
            <sz val="10"/>
            <color rgb="FF000000"/>
            <rFont val="Tahoma"/>
            <family val="2"/>
          </rPr>
          <t>adjusts the domain of the x-axis of many figures with recent data</t>
        </r>
      </text>
    </comment>
    <comment ref="A20" authorId="0" shapeId="0" xr:uid="{41A92E55-769B-0F47-92E4-C5874A15203A}">
      <text>
        <r>
          <rPr>
            <sz val="10"/>
            <color rgb="FF000000"/>
            <rFont val="Tahoma"/>
            <family val="2"/>
          </rPr>
          <t>adjusts the domain of the x-axis of many figures with recent data</t>
        </r>
      </text>
    </comment>
    <comment ref="A21" authorId="0" shapeId="0" xr:uid="{FABD3E9C-D244-594B-879A-A43686F16D3E}">
      <text>
        <r>
          <rPr>
            <sz val="10"/>
            <color rgb="FF000000"/>
            <rFont val="Tahoma"/>
            <family val="2"/>
          </rPr>
          <t>adjusts the domain of the x-axis of many figures that show the last two decades of data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91A782F7-5428-3648-9E52-EF4DEC8D51E2}">
      <text>
        <r>
          <rPr>
            <sz val="10"/>
            <color rgb="FF000000"/>
            <rFont val="Tahoma"/>
            <family val="2"/>
          </rPr>
          <t>Set 'n' to exclude time series from figure. Set all series of given figure to 'n' to remove that figure from the resulting report.</t>
        </r>
      </text>
    </comment>
    <comment ref="C2" authorId="0" shapeId="0" xr:uid="{9EFCCFE5-EC64-C048-AA90-416191BFBF63}">
      <text>
        <r>
          <rPr>
            <sz val="10"/>
            <color rgb="FF000000"/>
            <rFont val="Tahoma"/>
            <family val="2"/>
          </rPr>
          <t>Attribute figure to section in report. Sections will appear in same order in report as shown here.</t>
        </r>
      </text>
    </comment>
    <comment ref="F2" authorId="0" shapeId="0" xr:uid="{606C2CD4-1E55-124C-9341-226AF7F0F841}">
      <text>
        <r>
          <rPr>
            <sz val="10"/>
            <color rgb="FF000000"/>
            <rFont val="Tahoma"/>
            <family val="2"/>
          </rPr>
          <t>File containing the time series you want to plot. Please see tab 'settings' for def. of variables.</t>
        </r>
      </text>
    </comment>
    <comment ref="G2" authorId="0" shapeId="0" xr:uid="{DBBF0152-1A19-CD47-8EF7-80451E9F7D0F}">
      <text>
        <r>
          <rPr>
            <sz val="10"/>
            <color rgb="FF000000"/>
            <rFont val="Tahoma"/>
            <family val="2"/>
          </rPr>
          <t>Specify 'sheet' if not first of file.</t>
        </r>
      </text>
    </comment>
    <comment ref="H2" authorId="0" shapeId="0" xr:uid="{68C288CF-F299-C342-AA13-5A398938666B}">
      <text>
        <r>
          <rPr>
            <sz val="10"/>
            <color rgb="FF000000"/>
            <rFont val="Tahoma"/>
            <family val="2"/>
          </rPr>
          <t>Skip the first n rows when reading the sheet.</t>
        </r>
      </text>
    </comment>
    <comment ref="I2" authorId="0" shapeId="0" xr:uid="{FBAE3C78-A5B4-2C49-8DC0-3E6DF558F273}">
      <text>
        <r>
          <rPr>
            <sz val="10"/>
            <color rgb="FF000000"/>
            <rFont val="Tahoma"/>
            <family val="2"/>
          </rPr>
          <t>Skip last n rows in sheet when reading.</t>
        </r>
      </text>
    </comment>
    <comment ref="M2" authorId="0" shapeId="0" xr:uid="{C4DDEA59-AC85-0743-8BA8-7AD576BD17F3}">
      <text>
        <r>
          <rPr>
            <sz val="10"/>
            <color rgb="FF000000"/>
            <rFont val="Tahoma"/>
            <family val="2"/>
          </rPr>
          <t>Frequency of the x-axis in the sheet. (If a monthyl x-axis holds quarterly data, put 'm' here).</t>
        </r>
      </text>
    </comment>
    <comment ref="N2" authorId="0" shapeId="0" xr:uid="{6747105D-6EFA-1E49-B0EC-9F06416E5555}">
      <text>
        <r>
          <rPr>
            <sz val="10"/>
            <color rgb="FF000000"/>
            <rFont val="Tahoma"/>
            <family val="2"/>
          </rPr>
          <t>Series is scaled to its average value in this year.</t>
        </r>
      </text>
    </comment>
    <comment ref="O2" authorId="0" shapeId="0" xr:uid="{D260D04B-1325-CC46-9ED4-B17C7DB78989}">
      <text>
        <r>
          <rPr>
            <sz val="10"/>
            <color rgb="FF000000"/>
            <rFont val="Tahoma"/>
            <family val="2"/>
          </rPr>
          <t>If you want 'cummulative compounding' or 'cummulative growth', provide a base year to normalize the time series' values to. Please beware that if the series has multiple values for the given base year, we will use the first value only.</t>
        </r>
      </text>
    </comment>
    <comment ref="P2" authorId="0" shapeId="0" xr:uid="{3173AF77-9477-594E-AA92-73B4C55B8C85}">
      <text>
        <r>
          <rPr>
            <sz val="14"/>
            <color rgb="FF000000"/>
            <rFont val="Tahoma"/>
            <family val="2"/>
          </rPr>
          <t xml:space="preserve">&lt;empty&gt;: shows value 'as is'
</t>
        </r>
        <r>
          <rPr>
            <sz val="14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Tahoma"/>
            <family val="2"/>
          </rPr>
          <t>n: shows difference with n periods ago</t>
        </r>
      </text>
    </comment>
    <comment ref="Q2" authorId="0" shapeId="0" xr:uid="{BED5BF3B-46CD-6D4A-B208-F69F05FCE85C}">
      <text>
        <r>
          <rPr>
            <sz val="14"/>
            <color rgb="FF000000"/>
            <rFont val="Tahoma"/>
            <family val="2"/>
          </rPr>
          <t>express delta as percentage</t>
        </r>
      </text>
    </comment>
    <comment ref="S2" authorId="0" shapeId="0" xr:uid="{D7D3A401-FE44-5B4D-9D60-7A642BBCFC8C}">
      <text>
        <r>
          <rPr>
            <sz val="10"/>
            <color rgb="FF000000"/>
            <rFont val="Tahoma"/>
            <family val="2"/>
          </rPr>
          <t>Put custom file name here if you don't like James' default based on figure title.</t>
        </r>
      </text>
    </comment>
    <comment ref="AD2" authorId="0" shapeId="0" xr:uid="{687E96BD-2F1A-6044-876B-13B93A59DE04}">
      <text>
        <r>
          <rPr>
            <sz val="10"/>
            <color rgb="FF000000"/>
            <rFont val="Tahoma"/>
            <family val="2"/>
          </rPr>
          <t>Domain of x-axis</t>
        </r>
      </text>
    </comment>
    <comment ref="AE2" authorId="0" shapeId="0" xr:uid="{0A9D153B-4EF2-864A-BBFF-94B57D9BA7BE}">
      <text>
        <r>
          <rPr>
            <sz val="10"/>
            <color rgb="FF000000"/>
            <rFont val="Tahoma"/>
            <family val="2"/>
          </rPr>
          <t>Removes all data outside this domain before plotting starts</t>
        </r>
      </text>
    </comment>
    <comment ref="AF2" authorId="0" shapeId="0" xr:uid="{BFBB8917-5277-1A48-8F28-8CEAC0005A8F}">
      <text>
        <r>
          <rPr>
            <sz val="10"/>
            <color rgb="FF000000"/>
            <rFont val="Tahoma"/>
            <family val="2"/>
          </rPr>
          <t>Range of y-axis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92150484-0BA2-5542-9C17-08C6520B7EDE}">
      <text>
        <r>
          <rPr>
            <sz val="10"/>
            <color rgb="FF000000"/>
            <rFont val="Tahoma"/>
            <family val="2"/>
          </rPr>
          <t>Set 'n' to exclude time series from figure. Set all series of given figure to 'n' to remove that figure from the resulting report.</t>
        </r>
      </text>
    </comment>
    <comment ref="C2" authorId="0" shapeId="0" xr:uid="{F17A9D18-7D44-D344-843F-0FEAFA9CD11E}">
      <text>
        <r>
          <rPr>
            <sz val="10"/>
            <color rgb="FF000000"/>
            <rFont val="Tahoma"/>
            <family val="2"/>
          </rPr>
          <t>Attribute figure to section in report. Sections will appear in same order in report as shown here.</t>
        </r>
      </text>
    </comment>
    <comment ref="F2" authorId="0" shapeId="0" xr:uid="{4C929744-2EA6-5B43-83C1-18257C0AA2F1}">
      <text>
        <r>
          <rPr>
            <sz val="10"/>
            <color rgb="FF000000"/>
            <rFont val="Tahoma"/>
            <family val="2"/>
          </rPr>
          <t>File containing the time series you want to plot. Please see tab 'settings' for def. of variables.</t>
        </r>
      </text>
    </comment>
    <comment ref="G2" authorId="0" shapeId="0" xr:uid="{9EA491FC-653A-1048-A5F5-E1DCB4E5CB4C}">
      <text>
        <r>
          <rPr>
            <sz val="10"/>
            <color rgb="FF000000"/>
            <rFont val="Tahoma"/>
            <family val="2"/>
          </rPr>
          <t>Specify 'sheet' if not first of file.</t>
        </r>
      </text>
    </comment>
    <comment ref="K2" authorId="0" shapeId="0" xr:uid="{BDADBC18-6D8F-4D45-B2DA-96E4FCABB4F3}">
      <text>
        <r>
          <rPr>
            <sz val="10"/>
            <color rgb="FF000000"/>
            <rFont val="Tahoma"/>
            <family val="2"/>
          </rPr>
          <t>Frequency of the x-axis in the sheet. (If a monthyl x-axis holds quarterly data, put 'm' here).</t>
        </r>
      </text>
    </comment>
    <comment ref="L2" authorId="0" shapeId="0" xr:uid="{DB46AED8-C832-9041-A0F0-70E8B617FF8B}">
      <text>
        <r>
          <rPr>
            <sz val="10"/>
            <color rgb="FF000000"/>
            <rFont val="Tahoma"/>
            <family val="2"/>
          </rPr>
          <t>Series is scaled to its average value in this year.</t>
        </r>
      </text>
    </comment>
    <comment ref="M2" authorId="0" shapeId="0" xr:uid="{EE2070F8-D824-D14A-8931-5187D82C7FDF}">
      <text>
        <r>
          <rPr>
            <sz val="10"/>
            <color rgb="FF000000"/>
            <rFont val="Tahoma"/>
            <family val="2"/>
          </rPr>
          <t>If you want 'cummulative compounding' or 'cummulative growth', provide a base year to normalize the time series' values to. Please beware that if the series has multiple values for the given base year, we will use the first value only.</t>
        </r>
      </text>
    </comment>
    <comment ref="N2" authorId="0" shapeId="0" xr:uid="{3BEA3D18-7FC9-754E-80FF-CC426508CB86}">
      <text>
        <r>
          <rPr>
            <sz val="14"/>
            <color rgb="FF000000"/>
            <rFont val="Tahoma"/>
            <family val="2"/>
          </rPr>
          <t xml:space="preserve">&lt;empty&gt;: shows value 'as is'
</t>
        </r>
        <r>
          <rPr>
            <sz val="14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Tahoma"/>
            <family val="2"/>
          </rPr>
          <t>n: shows difference with n periods ago</t>
        </r>
      </text>
    </comment>
    <comment ref="O2" authorId="0" shapeId="0" xr:uid="{B8E71BF2-B660-6C4B-A5C8-6AC0B59A3AE5}">
      <text>
        <r>
          <rPr>
            <sz val="14"/>
            <color rgb="FF000000"/>
            <rFont val="Tahoma"/>
            <family val="2"/>
          </rPr>
          <t>express delta as percentage</t>
        </r>
      </text>
    </comment>
    <comment ref="Q2" authorId="0" shapeId="0" xr:uid="{B1D5C981-F0F1-9E49-A576-F2D5A7651060}">
      <text>
        <r>
          <rPr>
            <sz val="10"/>
            <color rgb="FF000000"/>
            <rFont val="Tahoma"/>
            <family val="2"/>
          </rPr>
          <t>Put custom file name here if you don't like James' default based on figure title.</t>
        </r>
      </text>
    </comment>
    <comment ref="AB2" authorId="0" shapeId="0" xr:uid="{9E1A4430-549F-394F-BE95-70D02DCA12CF}">
      <text>
        <r>
          <rPr>
            <sz val="10"/>
            <color rgb="FF000000"/>
            <rFont val="Tahoma"/>
            <family val="2"/>
          </rPr>
          <t>Domain of x-axis</t>
        </r>
      </text>
    </comment>
    <comment ref="AC2" authorId="0" shapeId="0" xr:uid="{5AD03A8D-0318-0E43-B42C-DF5D835CE98F}">
      <text>
        <r>
          <rPr>
            <sz val="10"/>
            <color rgb="FF000000"/>
            <rFont val="Tahoma"/>
            <family val="2"/>
          </rPr>
          <t>Removes all data outside this domain before plotting starts</t>
        </r>
      </text>
    </comment>
    <comment ref="AD2" authorId="0" shapeId="0" xr:uid="{B11AF925-05A8-554D-B305-86FF1FB265DE}">
      <text>
        <r>
          <rPr>
            <sz val="10"/>
            <color rgb="FF000000"/>
            <rFont val="Tahoma"/>
            <family val="2"/>
          </rPr>
          <t>Range of y-axis</t>
        </r>
      </text>
    </comment>
  </commentList>
</comments>
</file>

<file path=xl/sharedStrings.xml><?xml version="1.0" encoding="utf-8"?>
<sst xmlns="http://schemas.openxmlformats.org/spreadsheetml/2006/main" count="1785" uniqueCount="519">
  <si>
    <t>section</t>
  </si>
  <si>
    <t>subsection</t>
  </si>
  <si>
    <t>tab</t>
  </si>
  <si>
    <t>Binnenland</t>
  </si>
  <si>
    <t>Productie</t>
  </si>
  <si>
    <t>BBP</t>
  </si>
  <si>
    <t>create</t>
  </si>
  <si>
    <t>file</t>
  </si>
  <si>
    <t>title</t>
  </si>
  <si>
    <t>REPORT</t>
  </si>
  <si>
    <t>frequency</t>
  </si>
  <si>
    <t>q</t>
  </si>
  <si>
    <t>sheet</t>
  </si>
  <si>
    <t>source</t>
  </si>
  <si>
    <t>DATA / PROCESSING</t>
  </si>
  <si>
    <t>Bruto binnenlands product</t>
  </si>
  <si>
    <t>volumemutatie q-o-q in %</t>
  </si>
  <si>
    <t>m:/p_macro/data/nr_sys/nr23_mev2025/output/20240807/20240807 model_reeksen_kwart.xlsx</t>
  </si>
  <si>
    <t>value</t>
  </si>
  <si>
    <t>parameter</t>
  </si>
  <si>
    <t>original-value</t>
  </si>
  <si>
    <t>file_saffier</t>
  </si>
  <si>
    <t>m:/p_ramen/sa4/mev25/output/pad02/epiloog_mev25_pad02.xlsx</t>
  </si>
  <si>
    <t>${file_saffier}</t>
  </si>
  <si>
    <t>base</t>
  </si>
  <si>
    <t>original/input</t>
  </si>
  <si>
    <t>series</t>
  </si>
  <si>
    <t>ybman___</t>
  </si>
  <si>
    <t>name</t>
  </si>
  <si>
    <t>CBS (mutatie in %)</t>
  </si>
  <si>
    <t>raming (mutatie in %)</t>
  </si>
  <si>
    <t>CBS (index)</t>
  </si>
  <si>
    <t>raming (index)</t>
  </si>
  <si>
    <t>y_axis</t>
  </si>
  <si>
    <t>l</t>
  </si>
  <si>
    <t>r</t>
  </si>
  <si>
    <t>type</t>
  </si>
  <si>
    <t>bar--</t>
  </si>
  <si>
    <t>line</t>
  </si>
  <si>
    <t>line_lty</t>
  </si>
  <si>
    <t>y_title</t>
  </si>
  <si>
    <t>x_title</t>
  </si>
  <si>
    <t>y_r_title</t>
  </si>
  <si>
    <t>file_cbs_kwartaal</t>
  </si>
  <si>
    <t>${file_cbs_kwartaal}</t>
  </si>
  <si>
    <t>x_lim</t>
  </si>
  <si>
    <t>2018, 2026</t>
  </si>
  <si>
    <t>y</t>
  </si>
  <si>
    <t>%</t>
  </si>
  <si>
    <t>index-base-year</t>
  </si>
  <si>
    <t>delta-period</t>
  </si>
  <si>
    <t>delta-as-percentage</t>
  </si>
  <si>
    <t>footnote</t>
  </si>
  <si>
    <t>Bron: CBS</t>
  </si>
  <si>
    <t>x_keep</t>
  </si>
  <si>
    <t>Productie industrie</t>
  </si>
  <si>
    <t>m</t>
  </si>
  <si>
    <t>file_prod_nijv</t>
  </si>
  <si>
    <t>${base}/2.xlsx</t>
  </si>
  <si>
    <t>m:/p_Monitoring_s2/Data/Opendata/output/prod_nijvh_2021.xlsx</t>
  </si>
  <si>
    <t>${file_prod_nijv}</t>
  </si>
  <si>
    <t>monthly</t>
  </si>
  <si>
    <t>ybbvi_vio</t>
  </si>
  <si>
    <t>season-adj</t>
  </si>
  <si>
    <t>no-legend</t>
  </si>
  <si>
    <t>style</t>
  </si>
  <si>
    <t>y_lim</t>
  </si>
  <si>
    <t>Bouwproductie</t>
  </si>
  <si>
    <t>m:/p_Monitoring_s2/Data/Opendata/output/prod_bouw_tgvwrd_2021.xlsx</t>
  </si>
  <si>
    <t>file_prod_bouw</t>
  </si>
  <si>
    <t>${base}/3.xlsx</t>
  </si>
  <si>
    <t>Bezettingsgraad industrie</t>
  </si>
  <si>
    <t>${file_prod_bouw}</t>
  </si>
  <si>
    <t>ybbvi_boo</t>
  </si>
  <si>
    <t>Bron: CBS, COEN</t>
  </si>
  <si>
    <t>m:/p_Monitoring_s2/Data/Opendata/output/COEN.xlsx</t>
  </si>
  <si>
    <t>bezgr_w_vi</t>
  </si>
  <si>
    <t>frequency-sheet</t>
  </si>
  <si>
    <t>Vertrouwensindicatoren producenten</t>
  </si>
  <si>
    <t>Producentenvertrouwen</t>
  </si>
  <si>
    <t>file_prodvert</t>
  </si>
  <si>
    <t>${base}/1-2-1.xlsx</t>
  </si>
  <si>
    <t>m:/p_Monitoring_s2/Data/Opendata/output/prodvertr.xlsx</t>
  </si>
  <si>
    <t>${file_prodvert}</t>
  </si>
  <si>
    <t>prodver_wrd</t>
  </si>
  <si>
    <t>2005, 2025</t>
  </si>
  <si>
    <t>saldo positieve antwoorden, seizoensgecorrigeerd</t>
  </si>
  <si>
    <t>Productie/bedrijvigheid komende drie maanden</t>
  </si>
  <si>
    <t>${base}/coen.xlsx</t>
  </si>
  <si>
    <t>bdrkm_w_ua</t>
  </si>
  <si>
    <t>bdrkm_w_vi</t>
  </si>
  <si>
    <t>78 uitzendbureaus en arbeidsbemiddeling</t>
  </si>
  <si>
    <t>C industrie</t>
  </si>
  <si>
    <t>Productie, bedrijvigheid komende drie maanden</t>
  </si>
  <si>
    <t>PMI Nederland</t>
  </si>
  <si>
    <t>&gt; 50 wijst op groei van de bedrijfsactiviteiten</t>
  </si>
  <si>
    <t>file_conj</t>
  </si>
  <si>
    <t>m:/p_Monitoring_s2/Data/Overig/data_conjunctuur.xlsx</t>
  </si>
  <si>
    <t>${base}/data_conjunctuur.xlsx</t>
  </si>
  <si>
    <t>${file_conj}</t>
  </si>
  <si>
    <t>Bron: NEVI</t>
  </si>
  <si>
    <t>maanden_divers</t>
  </si>
  <si>
    <t>PMI</t>
  </si>
  <si>
    <t>Oordeel orderpositie</t>
  </si>
  <si>
    <t>saldo positieve antwoorden (%)</t>
  </si>
  <si>
    <t>ortot_w_td</t>
  </si>
  <si>
    <t>ortot_w_ua</t>
  </si>
  <si>
    <t>ortot_w_vi</t>
  </si>
  <si>
    <t>49-96 totaal dienstverlening</t>
  </si>
  <si>
    <t>file_coen</t>
  </si>
  <si>
    <t>${file_coen}</t>
  </si>
  <si>
    <t>file_faillissement</t>
  </si>
  <si>
    <t>m:/p_Monitoring_s2/Data/Opendata/output/faillissem.xlsx</t>
  </si>
  <si>
    <t>${base}/faillissem.xlsx</t>
  </si>
  <si>
    <t>${file_faillissement}</t>
  </si>
  <si>
    <t>Faillissementen</t>
  </si>
  <si>
    <t>aantal per maand</t>
  </si>
  <si>
    <t>faill_ex</t>
  </si>
  <si>
    <t>Investeringen</t>
  </si>
  <si>
    <t>Bruto investeringen</t>
  </si>
  <si>
    <t>${base}/cbs-kwartaal.xlsx</t>
  </si>
  <si>
    <t>i__an___</t>
  </si>
  <si>
    <t>legend_n_per_column</t>
  </si>
  <si>
    <t>Investeringen (totaal, gebouwen, woningen)</t>
  </si>
  <si>
    <t>${base}/bbpmut_narev21.xlsx</t>
  </si>
  <si>
    <t>file_bbpmut_narev</t>
  </si>
  <si>
    <t>m:/p_Monitoring_s2/Data/Opendata/output/bbpmut_narev21.xlsx</t>
  </si>
  <si>
    <t>inv_vr_totaal</t>
  </si>
  <si>
    <t>inv_vr_ggo</t>
  </si>
  <si>
    <t>inv_vr_woning</t>
  </si>
  <si>
    <t>${file_bbpmut_narev}</t>
  </si>
  <si>
    <t>quarterly</t>
  </si>
  <si>
    <t>totaal</t>
  </si>
  <si>
    <t>gebouwen, GWW en grondverbetering</t>
  </si>
  <si>
    <t>woningen</t>
  </si>
  <si>
    <t>cumulative-growth-base-year</t>
  </si>
  <si>
    <t>index, 2019 = 100</t>
  </si>
  <si>
    <t>Investeringen (overig)</t>
  </si>
  <si>
    <t>Investeringen, overige</t>
  </si>
  <si>
    <t>inv_vr_ict</t>
  </si>
  <si>
    <t>inv_vr_immat</t>
  </si>
  <si>
    <t>inv_vr_verkoop</t>
  </si>
  <si>
    <t>inv_vr_vervoer</t>
  </si>
  <si>
    <t>inv_vr_machines</t>
  </si>
  <si>
    <t>ICT-apparatuur</t>
  </si>
  <si>
    <t>immateriële activa</t>
  </si>
  <si>
    <t>vervoermiddelen</t>
  </si>
  <si>
    <t>machines en overige materiële activa</t>
  </si>
  <si>
    <t>Consumptie huishoudens</t>
  </si>
  <si>
    <t>c__an_hu</t>
  </si>
  <si>
    <t>70, 120</t>
  </si>
  <si>
    <t>y_r_lim</t>
  </si>
  <si>
    <t>Consumptie huishoudens, maandbasis</t>
  </si>
  <si>
    <t>Binnenlandse consumptie door huishoudens</t>
  </si>
  <si>
    <t>volumemutatie, koopdag- en seizoengecorrigeerd</t>
  </si>
  <si>
    <t>${file_cons_best}</t>
  </si>
  <si>
    <t>file_cons_best</t>
  </si>
  <si>
    <t>${base}/cons_best_2021.xlsx</t>
  </si>
  <si>
    <t>m:/p_Monitoring_s2/Data/Opendata/output/cons_best_2021.xlsx</t>
  </si>
  <si>
    <t>path_run</t>
  </si>
  <si>
    <t>c__anibi</t>
  </si>
  <si>
    <t>2018, 2025</t>
  </si>
  <si>
    <t>Detailhandelverkopen</t>
  </si>
  <si>
    <t>omzetvolume, index 2021 = 100</t>
  </si>
  <si>
    <t>Dethnd_omz_visg_tot</t>
  </si>
  <si>
    <t>file_omz_detailh</t>
  </si>
  <si>
    <t>m:/p_Monitoring_s2/Data/Opendata/output/omzet_dethnd_2021.xlsx</t>
  </si>
  <si>
    <t>${file_omz_detailh}</t>
  </si>
  <si>
    <t>${base}/omzet_dethnd_2021.xlsx</t>
  </si>
  <si>
    <t>Detailhandelverkopen, onderdelen</t>
  </si>
  <si>
    <t>Dethnd_omz_visg_food</t>
  </si>
  <si>
    <t>Dethnd_omz_visg_nonfood</t>
  </si>
  <si>
    <t>Dethnd_omz_visg_postweb</t>
  </si>
  <si>
    <t>winkels in voedingsmiddelen</t>
  </si>
  <si>
    <t>10, 130</t>
  </si>
  <si>
    <t>postorderbedrijven, webwinkels (rechter as)</t>
  </si>
  <si>
    <t>winkels in non-foodart</t>
  </si>
  <si>
    <t>hline_bold</t>
  </si>
  <si>
    <t>Detailhandelsverkopen, onderdelen</t>
  </si>
  <si>
    <t>omzetvolume\nindex 2021 = 100</t>
  </si>
  <si>
    <t>omzetvolume postorderbedrijven\nindex 2021 = 100</t>
  </si>
  <si>
    <t>Consumptie naar type</t>
  </si>
  <si>
    <t>c__anid_</t>
  </si>
  <si>
    <t>c__anidi</t>
  </si>
  <si>
    <t>c__aniog</t>
  </si>
  <si>
    <t>c__anivg</t>
  </si>
  <si>
    <t>duurzame goederen</t>
  </si>
  <si>
    <t>diensten</t>
  </si>
  <si>
    <t>overig</t>
  </si>
  <si>
    <t>voeding</t>
  </si>
  <si>
    <t>volume, indexcijfer (2021=100), seizoensgecorrigeerd</t>
  </si>
  <si>
    <t>Spaargelden</t>
  </si>
  <si>
    <t>Bron: DNB</t>
  </si>
  <si>
    <t>sgdwn_end</t>
  </si>
  <si>
    <t>% mutatie, seizoensgecorrigeerd</t>
  </si>
  <si>
    <t>bedrag, seizoensgecorrigeerd</t>
  </si>
  <si>
    <t>scale</t>
  </si>
  <si>
    <t>mutaties m-o-m (%)</t>
  </si>
  <si>
    <t>mld euro</t>
  </si>
  <si>
    <t>Vertrouwensindicatoren consumenten</t>
  </si>
  <si>
    <t>Consumentenvertrouwen</t>
  </si>
  <si>
    <t>file_cons_vertr</t>
  </si>
  <si>
    <t>${base}/consvertr.xlsx</t>
  </si>
  <si>
    <t>${file_cons_vertr}</t>
  </si>
  <si>
    <t>convrt</t>
  </si>
  <si>
    <t>ek</t>
  </si>
  <si>
    <t>koop</t>
  </si>
  <si>
    <t>consumentenvertrouwen</t>
  </si>
  <si>
    <t>economisch klimaat</t>
  </si>
  <si>
    <t>koopbereidheid</t>
  </si>
  <si>
    <t>saldo positieve antwoorden</t>
  </si>
  <si>
    <t>Buitenlandse handel</t>
  </si>
  <si>
    <t>Wereldhandelsmonitor</t>
  </si>
  <si>
    <t>Bron: CPB</t>
  </si>
  <si>
    <t>wtmhn</t>
  </si>
  <si>
    <t>Uitvoer</t>
  </si>
  <si>
    <t>b__an___</t>
  </si>
  <si>
    <t>Uitvoer goederen en diensten</t>
  </si>
  <si>
    <t>${base}/epiloog_mev25_pad02.xlsx</t>
  </si>
  <si>
    <t>CBS (index, rechter as)</t>
  </si>
  <si>
    <t>raming (index, rechter as)</t>
  </si>
  <si>
    <t>-15, 10</t>
  </si>
  <si>
    <t>85, 110</t>
  </si>
  <si>
    <t>y_at</t>
  </si>
  <si>
    <t>y_r_at</t>
  </si>
  <si>
    <t>-15, -10, -5, 0, 5, 10</t>
  </si>
  <si>
    <t>85, 90, 95, 100, 105, 110</t>
  </si>
  <si>
    <t>Uitvoer van goederen</t>
  </si>
  <si>
    <t>volumemutatie, werkdag- en seizoensgecorrigeerd</t>
  </si>
  <si>
    <t>Uitvoer, maandbasis</t>
  </si>
  <si>
    <t>file_buha</t>
  </si>
  <si>
    <t>${base}/buha_eigendom_2021.xlsx</t>
  </si>
  <si>
    <t>m:/p_Monitoring_s2/Data/Opendata/output/buha_eigendom_2021.xlsx</t>
  </si>
  <si>
    <t>${file_buha}</t>
  </si>
  <si>
    <t>bg_vi___g_sl</t>
  </si>
  <si>
    <t>last_20_years</t>
  </si>
  <si>
    <t>${last_20_years}</t>
  </si>
  <si>
    <t>last_6y_plus_1</t>
  </si>
  <si>
    <t>${last_6y_plus_1}</t>
  </si>
  <si>
    <t>Invoer</t>
  </si>
  <si>
    <t>m__an___</t>
  </si>
  <si>
    <t>Invoer goederen en diensten</t>
  </si>
  <si>
    <t>last_6y_plus_2</t>
  </si>
  <si>
    <t>${last_6y_plus_2}</t>
  </si>
  <si>
    <t>Invoer, maandbasis</t>
  </si>
  <si>
    <t>Invoer van goederen</t>
  </si>
  <si>
    <t>mg_vi___g_sl</t>
  </si>
  <si>
    <t>Consumentenprijzen</t>
  </si>
  <si>
    <t>CPI en HICP</t>
  </si>
  <si>
    <t>file_cpi</t>
  </si>
  <si>
    <t>m:/p_Monitoring_s2/Data/Opendata/output/cons_cpi.xlsx</t>
  </si>
  <si>
    <t>${base}/cons_cpi.xlsx</t>
  </si>
  <si>
    <t>file_hicp</t>
  </si>
  <si>
    <t>m:/p_Monitoring_s2/Data/Opendata/output/cons_hicp.xlsx</t>
  </si>
  <si>
    <t>${base}/cons_hicp.xlsx</t>
  </si>
  <si>
    <t>${file_cpi}</t>
  </si>
  <si>
    <t>${file_hicp}</t>
  </si>
  <si>
    <t>cpipi___o</t>
  </si>
  <si>
    <t>cphpi___o</t>
  </si>
  <si>
    <t>CPI inflatie, seizoensgecorrigeerd</t>
  </si>
  <si>
    <t>HICP inflatie, seizoensgecorrigeerd</t>
  </si>
  <si>
    <t>CPI en HICP, alle bestedingen</t>
  </si>
  <si>
    <t>inflatie (%), jaar-op-jaar</t>
  </si>
  <si>
    <t>prijsindex, 2015 = 100</t>
  </si>
  <si>
    <t>CPI index (rechter as)</t>
  </si>
  <si>
    <t>HICP index (rechter as)</t>
  </si>
  <si>
    <t>lock</t>
  </si>
  <si>
    <t>Afgeleide CPI</t>
  </si>
  <si>
    <t>cpipr___o</t>
  </si>
  <si>
    <t>cs_pr___o</t>
  </si>
  <si>
    <t>CPI</t>
  </si>
  <si>
    <t>afgeleide CPI</t>
  </si>
  <si>
    <t>Jaarmutatie CPI en afgeleide CPI</t>
  </si>
  <si>
    <t>inflatie op jaarbasis (%)</t>
  </si>
  <si>
    <t>Componenten afgeleide CPI</t>
  </si>
  <si>
    <t>jaarmutatie CPI afgeleid (%)</t>
  </si>
  <si>
    <t>jaarmutatie CPI afgeleid energie (%)</t>
  </si>
  <si>
    <t>cs_pr__x_o</t>
  </si>
  <si>
    <t>cs_pr_en_o</t>
  </si>
  <si>
    <t>cs_pr_gd_o</t>
  </si>
  <si>
    <t>cs_pr_vg_o</t>
  </si>
  <si>
    <t>cs_pr_wo_o</t>
  </si>
  <si>
    <t>kern</t>
  </si>
  <si>
    <t>goederen</t>
  </si>
  <si>
    <t>werkelijke woninghuur</t>
  </si>
  <si>
    <t>energie, inclusief andere brandstof (rechter as)</t>
  </si>
  <si>
    <t>Componenten afgeleide CPI (index)</t>
  </si>
  <si>
    <t>line_lwd</t>
  </si>
  <si>
    <t>cs_pi__x_o</t>
  </si>
  <si>
    <t>cs_pi_en_o</t>
  </si>
  <si>
    <t>cs_pi_gd_o</t>
  </si>
  <si>
    <t>cs_pi_vg_o</t>
  </si>
  <si>
    <t>cs_pi_wo_o</t>
  </si>
  <si>
    <t>REMARK</t>
  </si>
  <si>
    <t>Volgorde omgegooid</t>
  </si>
  <si>
    <t>100, 150</t>
  </si>
  <si>
    <t>100, 350</t>
  </si>
  <si>
    <t>prijsindex energie, 2015 = 100</t>
  </si>
  <si>
    <t>JOINT TIME AXES</t>
  </si>
  <si>
    <t>PATH &amp; FILE</t>
  </si>
  <si>
    <t>RUN</t>
  </si>
  <si>
    <t>${path_run}/report</t>
  </si>
  <si>
    <t>macro-monitor.html</t>
  </si>
  <si>
    <t>figure_wide</t>
  </si>
  <si>
    <t>yes</t>
  </si>
  <si>
    <t>report_css</t>
  </si>
  <si>
    <t>report_template</t>
  </si>
  <si>
    <t>report_path</t>
  </si>
  <si>
    <t>report_file</t>
  </si>
  <si>
    <t>Investeringen opgesplitst naar gebouwen en woningen</t>
  </si>
  <si>
    <t>Detailhandelsverkopen (geen tankstations en apotheken)</t>
  </si>
  <si>
    <t>verkoop van gebruikte, vaste activa (-)</t>
  </si>
  <si>
    <t>xlsx_path</t>
  </si>
  <si>
    <t>${path_run}/xlsx</t>
  </si>
  <si>
    <t>Componenten afgeleide CPI (inflatie)</t>
  </si>
  <si>
    <t>james_path</t>
  </si>
  <si>
    <t>font_path</t>
  </si>
  <si>
    <t>NICERPLOT</t>
  </si>
  <si>
    <t>Huizenprijs</t>
  </si>
  <si>
    <t>file_conskoopw</t>
  </si>
  <si>
    <t>${base}/cons_koopwo.xlsx</t>
  </si>
  <si>
    <t>m:/p_Monitoring_s2/Data/Opendata/output/cons_koopwo.xlsx</t>
  </si>
  <si>
    <t>${file_conskoopw}</t>
  </si>
  <si>
    <t>huisprkad</t>
  </si>
  <si>
    <t>% mutatie</t>
  </si>
  <si>
    <t>huizenprijsindex</t>
  </si>
  <si>
    <t>% verandering m-o-m op jaarbasis</t>
  </si>
  <si>
    <t>prijsindex, 2020=100</t>
  </si>
  <si>
    <t>Figuur ziet er anders uit; begrijp niet goed waarom!</t>
  </si>
  <si>
    <t>Producentenprijzen</t>
  </si>
  <si>
    <t>PPI totaal industrie</t>
  </si>
  <si>
    <t>Producentenprijsindex</t>
  </si>
  <si>
    <t>index, 2021 = 100</t>
  </si>
  <si>
    <t>index, 2021 = 100, seizoensgecorrigeerd</t>
  </si>
  <si>
    <t>${base}/ppi1_2021.xlsx</t>
  </si>
  <si>
    <t>file_ppi</t>
  </si>
  <si>
    <t>m:/p_Monitoring_s2/Data/Opendata/output/ppi1_2021.xlsx</t>
  </si>
  <si>
    <t>${file_ppi}</t>
  </si>
  <si>
    <t>PPI_afz_SC</t>
  </si>
  <si>
    <t>Brentolie</t>
  </si>
  <si>
    <t>dollar per vat</t>
  </si>
  <si>
    <t>Bron: Refinitiv</t>
  </si>
  <si>
    <t>oliepr</t>
  </si>
  <si>
    <t>maandcijfers</t>
  </si>
  <si>
    <t>PPI Delfstoffenwinning</t>
  </si>
  <si>
    <t>bron: CBS</t>
  </si>
  <si>
    <t>PPI_bin_S06</t>
  </si>
  <si>
    <t>afzet binnenland</t>
  </si>
  <si>
    <t>PPI_inv_S06</t>
  </si>
  <si>
    <t>invoer</t>
  </si>
  <si>
    <t>PPI_ver_S06</t>
  </si>
  <si>
    <t>verbruik binnenland</t>
  </si>
  <si>
    <t>PPI Voeding</t>
  </si>
  <si>
    <t>PPI_bui_S10</t>
  </si>
  <si>
    <t>afzet buitenland</t>
  </si>
  <si>
    <t>PPI_bin_S10</t>
  </si>
  <si>
    <t>PPI_inv_S10</t>
  </si>
  <si>
    <t>PPI_ver_S10</t>
  </si>
  <si>
    <t>PPI Chemie</t>
  </si>
  <si>
    <t>PPI_bui_S20</t>
  </si>
  <si>
    <t>PPI_bin_S20</t>
  </si>
  <si>
    <t>PPI_inv_S20</t>
  </si>
  <si>
    <t>PPI_ver_S20</t>
  </si>
  <si>
    <t>PPI Basismetalen</t>
  </si>
  <si>
    <t>PPI_bui_S24</t>
  </si>
  <si>
    <t>PPI_bin_S24</t>
  </si>
  <si>
    <t>PPI_inv_S24</t>
  </si>
  <si>
    <t>PPI_ver_S24</t>
  </si>
  <si>
    <t>PPI Machines</t>
  </si>
  <si>
    <t>PPI_bui_S28</t>
  </si>
  <si>
    <t>PPI_bin_S28</t>
  </si>
  <si>
    <t>PPI_inv_S28</t>
  </si>
  <si>
    <t>PPI_ver_S28</t>
  </si>
  <si>
    <t>PPI Gas en elektriciteit</t>
  </si>
  <si>
    <t>PPI_bin_S35</t>
  </si>
  <si>
    <t>PPI_ver_S35</t>
  </si>
  <si>
    <t>PPI Diensten</t>
  </si>
  <si>
    <t>PPI_DPI</t>
  </si>
  <si>
    <t>totaal diensten</t>
  </si>
  <si>
    <t>file_ppi_diensten</t>
  </si>
  <si>
    <t>${base}/ppid_2021.xlsx</t>
  </si>
  <si>
    <t>m:/p_Monitoring_s2/Data/Opendata/output/ppid_2021.xlsx</t>
  </si>
  <si>
    <t>${file_ppi_diensten}</t>
  </si>
  <si>
    <t>m:/p_james/release/james-windows-2024-12-09.bat</t>
  </si>
  <si>
    <t>assets_path</t>
  </si>
  <si>
    <t>assets</t>
  </si>
  <si>
    <t>${assets_path}/report-style.css</t>
  </si>
  <si>
    <t>report-template.Rmd</t>
  </si>
  <si>
    <t>report_template_file_name</t>
  </si>
  <si>
    <t>${assets_path}/${report_template_file_name}</t>
  </si>
  <si>
    <t>q-o-q</t>
  </si>
  <si>
    <t>cao_part</t>
  </si>
  <si>
    <t>looninflatie, niet-seizoensgecorrigeerd</t>
  </si>
  <si>
    <t>loon, volumeindex, niet-seizoensgecorrigeerd</t>
  </si>
  <si>
    <t>Lonen</t>
  </si>
  <si>
    <t>CAO-loonontwikkeling marktsector</t>
  </si>
  <si>
    <t>file_cao</t>
  </si>
  <si>
    <t>${base}/cao.xlsx</t>
  </si>
  <si>
    <t>m:/p_Monitoring_s2/Data/Opendata/output/cao.xlsx</t>
  </si>
  <si>
    <t>file_arb_werk_loon</t>
  </si>
  <si>
    <t>${base}/arb_werkn_loon.xlsx</t>
  </si>
  <si>
    <t>m:/p_Monitoring_s2/Data/Opendata/output/arb_werkn_loon.xlsx</t>
  </si>
  <si>
    <t>file_us_policy</t>
  </si>
  <si>
    <t>${base}/US_Policy_Uncertainty_Data.xlsx</t>
  </si>
  <si>
    <t>m:/p_Monitoring_s2/Data/Volatiliteit/US_Policy_Uncertainty_Data.xlsx</t>
  </si>
  <si>
    <t>file_eu_policy</t>
  </si>
  <si>
    <t>${base}/Europe_Policy_Uncertainty_Data.xlsx</t>
  </si>
  <si>
    <t>m:/p_Monitoring_s2/Data/Volatiliteit/Europe_Policy_Uncertainty_Data.xlsx</t>
  </si>
  <si>
    <t>${file_cao}</t>
  </si>
  <si>
    <t>index, 2015 = 100</t>
  </si>
  <si>
    <t>index incl. bijz. beloningen, 2020 = 100</t>
  </si>
  <si>
    <t>In current version of software, frequency must be equal for all time series.</t>
  </si>
  <si>
    <t>regel 62 in Info_figuren.xlsx, deze twee reeksen hebben dezelfde naam?!</t>
  </si>
  <si>
    <t>CAO-loonontwikkeling zorg</t>
  </si>
  <si>
    <t>cao_subs</t>
  </si>
  <si>
    <t>Cao-loonontwikkeling zorg</t>
  </si>
  <si>
    <t>CAO-loonontwikkeling markt</t>
  </si>
  <si>
    <t>Cao-loonontwikkeling markt</t>
  </si>
  <si>
    <t>Internationaal</t>
  </si>
  <si>
    <t>Bbp en onderdelen</t>
  </si>
  <si>
    <t>In- en uitvoer Eurogezone</t>
  </si>
  <si>
    <t>import volume eurogebied (WTM)</t>
  </si>
  <si>
    <t>export volume eurogebied (WTM)</t>
  </si>
  <si>
    <t>${base}/Macro_monitor_Macrobond_download.xlsx</t>
  </si>
  <si>
    <t>m:/p_Monitoring_s2/Data/Macrobond/Macro_monitor_Macrobond_download.xlsx</t>
  </si>
  <si>
    <t>file_macrobond</t>
  </si>
  <si>
    <t>${file_macrobond}</t>
  </si>
  <si>
    <t>volumemutatie, m-o-m</t>
  </si>
  <si>
    <t>Waarden verschillen een beetje met de oorspronkelijke monitor.</t>
  </si>
  <si>
    <t>importvolume eurogezone</t>
  </si>
  <si>
    <t>exportvolume eurogezone</t>
  </si>
  <si>
    <t>Bron: Datastream</t>
  </si>
  <si>
    <t>Prijzen</t>
  </si>
  <si>
    <t>HICP eurogebied, totaal</t>
  </si>
  <si>
    <t>HICP eurogebied, voeding, alc. en tabak</t>
  </si>
  <si>
    <t>HICP eurogebied, energie</t>
  </si>
  <si>
    <t>HICP eurogebied, totaal, excl. energie, voeding en tabak</t>
  </si>
  <si>
    <t>Bron: Macrobond</t>
  </si>
  <si>
    <t>Inflatie Eurozone</t>
  </si>
  <si>
    <t>Transportkosten</t>
  </si>
  <si>
    <t>maandgemiddelde</t>
  </si>
  <si>
    <t>Baltic Dry Index</t>
  </si>
  <si>
    <t>Harpex index</t>
  </si>
  <si>
    <t>Global Container Freight Index</t>
  </si>
  <si>
    <t>Leading indicators VS en EU</t>
  </si>
  <si>
    <t>Leading indicators VS, China en big-4-EU</t>
  </si>
  <si>
    <t>indicator</t>
  </si>
  <si>
    <t>CLI -EU</t>
  </si>
  <si>
    <t>big 4 EU</t>
  </si>
  <si>
    <t>CLI - VS</t>
  </si>
  <si>
    <t>Verenigde Staten</t>
  </si>
  <si>
    <t>CLI - CHN</t>
  </si>
  <si>
    <t>China</t>
  </si>
  <si>
    <t>Internationale vertrouwensindicatoren</t>
  </si>
  <si>
    <t>PMI Eurogebied</t>
  </si>
  <si>
    <t>PMI samengesteld eurozone</t>
  </si>
  <si>
    <t>PMI industrie eurozone</t>
  </si>
  <si>
    <t>PMI eurozone</t>
  </si>
  <si>
    <t>Vertrouwensindicatoren Eurozone</t>
  </si>
  <si>
    <t>consumentenvertrouwen eurozone</t>
  </si>
  <si>
    <t>ondernemersvertrouwen eurozone</t>
  </si>
  <si>
    <t>dienstensector vertrouwenindicator eurozone</t>
  </si>
  <si>
    <t>industrie vertrouwenindicator eurozone</t>
  </si>
  <si>
    <t>bouwsector vertrouwenindicator eurozone</t>
  </si>
  <si>
    <t>Cons.- en producentenvertrouwen Eurozone</t>
  </si>
  <si>
    <t>Beleidsonzekerheid VS</t>
  </si>
  <si>
    <t>Beleidsonzekerheid EU</t>
  </si>
  <si>
    <t>Bron: Economic Policy Uncertainty</t>
  </si>
  <si>
    <t>Lange rente NL, VS, DU en ITA</t>
  </si>
  <si>
    <t>lange rente Duitsland</t>
  </si>
  <si>
    <t>lange rente VS</t>
  </si>
  <si>
    <t>lange rente Italie</t>
  </si>
  <si>
    <t>lange rente Nederland</t>
  </si>
  <si>
    <t>Financiële markten</t>
  </si>
  <si>
    <t>Rentestanden</t>
  </si>
  <si>
    <t>rl_rn</t>
  </si>
  <si>
    <t>Bron: ECB</t>
  </si>
  <si>
    <t>rko_rn</t>
  </si>
  <si>
    <t>korte rente Nederland</t>
  </si>
  <si>
    <t>Rente Nederland</t>
  </si>
  <si>
    <t>dollar</t>
  </si>
  <si>
    <t>Dollar-eurokoers</t>
  </si>
  <si>
    <t>dollar-eurokoers</t>
  </si>
  <si>
    <t>Volatiliteit US S&amp;P500</t>
  </si>
  <si>
    <t>dagcijfers</t>
  </si>
  <si>
    <t>Volatiliteit_US_S&amp;P500</t>
  </si>
  <si>
    <t>Volatiliteit VS S&amp;P</t>
  </si>
  <si>
    <t>dagcijfer</t>
  </si>
  <si>
    <t>x-as heeft verschillende typen datums, plus dat er in de kolom PMI op het eind foutief een heel grote waarde staat! :-O</t>
  </si>
  <si>
    <t>skip_first_n_rows</t>
  </si>
  <si>
    <t>skip_last_n_rows</t>
  </si>
  <si>
    <t>Bron: Cboe</t>
  </si>
  <si>
    <t>AEX</t>
  </si>
  <si>
    <t>beurs_aex</t>
  </si>
  <si>
    <t>index, ultimo maand</t>
  </si>
  <si>
    <t>Bron: Google</t>
  </si>
  <si>
    <t>Beloning werknemers</t>
  </si>
  <si>
    <t>${file_arb_werk_loon}</t>
  </si>
  <si>
    <t>ll_wng__</t>
  </si>
  <si>
    <t>ll_wngkw</t>
  </si>
  <si>
    <t>ll_wngob</t>
  </si>
  <si>
    <t>ll_wngow</t>
  </si>
  <si>
    <t>al_uno__</t>
  </si>
  <si>
    <t>al_unokw</t>
  </si>
  <si>
    <t>al_unoob</t>
  </si>
  <si>
    <t>al_unoow</t>
  </si>
  <si>
    <t>markt; seizoengecorrigeerd (euro/uur)</t>
  </si>
  <si>
    <t>Beloning werknemers, markt</t>
  </si>
  <si>
    <t>order</t>
  </si>
  <si>
    <t>formula_name</t>
  </si>
  <si>
    <t>formula</t>
  </si>
  <si>
    <t>(p$data[, 2] - p$data[, 3] - p$data[, 4] - p$data[, 5]) / (p$data[, 6] - p$data[, 7] - p$data[, 8])</t>
  </si>
  <si>
    <t>Beloning werknemers, zorg</t>
  </si>
  <si>
    <t>Beloning werknemers, onderwijs</t>
  </si>
  <si>
    <t>Beloning werknemers, overheid</t>
  </si>
  <si>
    <t>p$data[, 2] / p$data[, 3]</t>
  </si>
  <si>
    <t>wordt niet getoond ivm `style = no-legend`</t>
  </si>
  <si>
    <t>euro per uur (seizoensgecorrigeerd)</t>
  </si>
  <si>
    <t>20, 60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</si>
</sst>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5"/>
      <name val="Aptos Narrow"/>
      <scheme val="minor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sz val="14"/>
      <color rgb="FF000000"/>
      <name val="Tahoma"/>
      <family val="2"/>
    </font>
    <font>
      <sz val="12"/>
      <color rgb="FF000000"/>
      <name val="Aptos Narrow"/>
      <family val="2"/>
      <scheme val="minor"/>
    </font>
    <font>
      <sz val="12"/>
      <color theme="0" tint="-0.34998626667073579"/>
      <name val="Aptos Narrow"/>
      <scheme val="minor"/>
    </font>
    <font>
      <sz val="11"/>
      <name val="Aptos Narrow"/>
      <family val="2"/>
      <scheme val="minor"/>
    </font>
    <font>
      <sz val="10"/>
      <color rgb="FF000000"/>
      <name val="Aptos Narrow"/>
    </font>
    <font>
      <b/>
      <sz val="12"/>
      <color theme="9"/>
      <name val="Aptos Narrow (Body)"/>
    </font>
    <font>
      <b/>
      <sz val="12"/>
      <color theme="8"/>
      <name val="Aptos Narrow"/>
      <scheme val="minor"/>
    </font>
    <font>
      <b/>
      <sz val="12"/>
      <name val="Aptos Narrow"/>
      <scheme val="minor"/>
    </font>
    <font>
      <b/>
      <sz val="12"/>
      <color theme="7"/>
      <name val="Aptos Narrow"/>
      <scheme val="minor"/>
    </font>
    <font>
      <b/>
      <sz val="12"/>
      <name val="Aptos Narrow (Body)"/>
    </font>
    <font>
      <sz val="12"/>
      <name val="Aptos Narrow"/>
      <scheme val="minor"/>
    </font>
    <font>
      <i/>
      <sz val="11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3" fillId="0" borderId="0" xfId="0" applyFont="1"/>
    <xf numFmtId="0" fontId="0" fillId="2" borderId="0" xfId="0" applyFill="1"/>
    <xf numFmtId="0" fontId="4" fillId="0" borderId="0" xfId="0" applyFont="1"/>
    <xf numFmtId="0" fontId="2" fillId="6" borderId="0" xfId="0" applyFont="1" applyFill="1"/>
    <xf numFmtId="0" fontId="1" fillId="6" borderId="0" xfId="0" applyFont="1" applyFill="1"/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vertical="center"/>
    </xf>
    <xf numFmtId="0" fontId="0" fillId="7" borderId="0" xfId="0" applyFill="1"/>
    <xf numFmtId="0" fontId="1" fillId="0" borderId="0" xfId="0" applyFont="1"/>
    <xf numFmtId="0" fontId="9" fillId="0" borderId="0" xfId="0" applyFont="1"/>
    <xf numFmtId="0" fontId="0" fillId="0" borderId="0" xfId="0" quotePrefix="1"/>
    <xf numFmtId="0" fontId="4" fillId="0" borderId="0" xfId="0" applyFont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/>
    <xf numFmtId="0" fontId="7" fillId="8" borderId="0" xfId="0" applyFont="1" applyFill="1"/>
    <xf numFmtId="0" fontId="4" fillId="8" borderId="0" xfId="0" applyFont="1" applyFill="1"/>
    <xf numFmtId="0" fontId="11" fillId="0" borderId="0" xfId="0" applyFont="1"/>
    <xf numFmtId="0" fontId="1" fillId="9" borderId="0" xfId="0" applyFont="1" applyFill="1"/>
    <xf numFmtId="0" fontId="0" fillId="9" borderId="0" xfId="0" applyFill="1"/>
    <xf numFmtId="0" fontId="1" fillId="4" borderId="0" xfId="0" applyFont="1" applyFill="1"/>
    <xf numFmtId="0" fontId="0" fillId="4" borderId="0" xfId="0" applyFill="1"/>
    <xf numFmtId="0" fontId="12" fillId="0" borderId="0" xfId="0" applyFont="1"/>
    <xf numFmtId="0" fontId="0" fillId="3" borderId="0" xfId="0" applyFill="1"/>
    <xf numFmtId="0" fontId="1" fillId="3" borderId="0" xfId="0" applyFont="1" applyFill="1"/>
    <xf numFmtId="0" fontId="13" fillId="0" borderId="0" xfId="0" applyFont="1"/>
    <xf numFmtId="0" fontId="14" fillId="0" borderId="0" xfId="0" applyFont="1"/>
    <xf numFmtId="0" fontId="8" fillId="0" borderId="0" xfId="0" applyFont="1"/>
    <xf numFmtId="0" fontId="16" fillId="0" borderId="0" xfId="0" applyFont="1"/>
    <xf numFmtId="0" fontId="15" fillId="9" borderId="0" xfId="0" applyFont="1" applyFill="1" applyAlignment="1">
      <alignment horizontal="left"/>
    </xf>
    <xf numFmtId="0" fontId="13" fillId="9" borderId="0" xfId="0" applyFont="1" applyFill="1" applyAlignment="1">
      <alignment horizontal="left"/>
    </xf>
    <xf numFmtId="0" fontId="13" fillId="4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9" fillId="0" borderId="0" xfId="0" applyFont="1" applyFill="1"/>
    <xf numFmtId="0" fontId="0" fillId="0" borderId="0" xfId="0" applyFill="1" applyAlignment="1">
      <alignment horizontal="left"/>
    </xf>
    <xf numFmtId="0" fontId="17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Fill="1"/>
    <xf numFmtId="0" fontId="18" fillId="0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11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D795-05E6-1F4D-8485-470A3722620C}">
  <dimension ref="A1:G47"/>
  <sheetViews>
    <sheetView zoomScale="239" zoomScaleNormal="239" workbookViewId="0">
      <pane ySplit="1820" topLeftCell="A4" activePane="bottomLeft"/>
      <selection sqref="A1:XFD1"/>
      <selection pane="bottomLeft" activeCell="B20" sqref="B20"/>
    </sheetView>
  </sheetViews>
  <sheetFormatPr baseColWidth="10" defaultColWidth="16.1640625" defaultRowHeight="16" x14ac:dyDescent="0.2"/>
  <cols>
    <col min="1" max="1" width="23.83203125" style="4" bestFit="1" customWidth="1"/>
    <col min="2" max="2" width="34.6640625" customWidth="1"/>
  </cols>
  <sheetData>
    <row r="1" spans="1:7" x14ac:dyDescent="0.2">
      <c r="A1" s="1" t="s">
        <v>19</v>
      </c>
      <c r="B1" s="1" t="s">
        <v>18</v>
      </c>
      <c r="C1" s="1" t="s">
        <v>20</v>
      </c>
      <c r="D1" s="1"/>
      <c r="E1" s="5"/>
      <c r="F1" s="5"/>
      <c r="G1" s="5"/>
    </row>
    <row r="2" spans="1:7" x14ac:dyDescent="0.2">
      <c r="A2" s="13"/>
      <c r="B2" s="13"/>
      <c r="C2" s="13"/>
      <c r="D2" s="13"/>
    </row>
    <row r="3" spans="1:7" x14ac:dyDescent="0.2">
      <c r="A3" s="37" t="s">
        <v>300</v>
      </c>
      <c r="B3" s="37"/>
      <c r="C3" s="1"/>
      <c r="D3" s="1"/>
      <c r="E3" s="5"/>
      <c r="F3" s="5"/>
      <c r="G3" s="5"/>
    </row>
    <row r="4" spans="1:7" x14ac:dyDescent="0.2">
      <c r="A4" s="30" t="s">
        <v>159</v>
      </c>
      <c r="B4" s="32"/>
      <c r="C4" s="29"/>
      <c r="D4" s="29"/>
      <c r="E4" s="32"/>
      <c r="F4" s="32"/>
      <c r="G4" s="32"/>
    </row>
    <row r="5" spans="1:7" x14ac:dyDescent="0.2">
      <c r="A5" s="30"/>
      <c r="B5" s="32"/>
      <c r="C5" s="29"/>
      <c r="D5" s="29"/>
      <c r="E5" s="32"/>
      <c r="F5" s="32"/>
      <c r="G5" s="32"/>
    </row>
    <row r="6" spans="1:7" x14ac:dyDescent="0.2">
      <c r="A6" s="33" t="s">
        <v>9</v>
      </c>
      <c r="B6" s="34"/>
      <c r="C6" s="22"/>
      <c r="D6" s="22"/>
      <c r="E6" s="23"/>
      <c r="F6" s="23"/>
      <c r="G6" s="23"/>
    </row>
    <row r="7" spans="1:7" x14ac:dyDescent="0.2">
      <c r="A7" s="21" t="s">
        <v>303</v>
      </c>
      <c r="B7" s="32" t="s">
        <v>304</v>
      </c>
      <c r="C7" s="13"/>
      <c r="D7" s="13"/>
    </row>
    <row r="8" spans="1:7" x14ac:dyDescent="0.2">
      <c r="A8" s="21" t="s">
        <v>384</v>
      </c>
      <c r="B8" s="32" t="s">
        <v>385</v>
      </c>
      <c r="C8" s="13"/>
      <c r="D8" s="13"/>
    </row>
    <row r="9" spans="1:7" x14ac:dyDescent="0.2">
      <c r="A9" s="21" t="s">
        <v>388</v>
      </c>
      <c r="B9" s="32" t="s">
        <v>387</v>
      </c>
      <c r="C9" s="13"/>
      <c r="D9" s="13"/>
    </row>
    <row r="10" spans="1:7" x14ac:dyDescent="0.2">
      <c r="A10" s="21" t="s">
        <v>306</v>
      </c>
      <c r="B10" s="32" t="s">
        <v>389</v>
      </c>
      <c r="C10" s="13"/>
      <c r="D10" s="13"/>
    </row>
    <row r="11" spans="1:7" x14ac:dyDescent="0.2">
      <c r="A11" s="21" t="s">
        <v>305</v>
      </c>
      <c r="B11" s="32" t="s">
        <v>386</v>
      </c>
      <c r="C11" s="13"/>
      <c r="D11" s="13"/>
    </row>
    <row r="12" spans="1:7" x14ac:dyDescent="0.2">
      <c r="A12" s="21" t="s">
        <v>307</v>
      </c>
      <c r="B12" s="32" t="s">
        <v>301</v>
      </c>
      <c r="C12" s="13"/>
      <c r="D12" s="13"/>
    </row>
    <row r="13" spans="1:7" x14ac:dyDescent="0.2">
      <c r="A13" s="21" t="s">
        <v>308</v>
      </c>
      <c r="B13" s="32" t="s">
        <v>302</v>
      </c>
      <c r="C13" s="13"/>
      <c r="D13" s="13"/>
    </row>
    <row r="14" spans="1:7" x14ac:dyDescent="0.2">
      <c r="A14" s="21" t="s">
        <v>312</v>
      </c>
      <c r="B14" s="32" t="s">
        <v>313</v>
      </c>
      <c r="C14" s="13"/>
      <c r="D14" s="13"/>
    </row>
    <row r="15" spans="1:7" x14ac:dyDescent="0.2">
      <c r="A15" s="21" t="s">
        <v>315</v>
      </c>
      <c r="B15" s="32" t="s">
        <v>383</v>
      </c>
      <c r="C15" s="13"/>
      <c r="D15" s="13"/>
    </row>
    <row r="16" spans="1:7" x14ac:dyDescent="0.2">
      <c r="A16" s="21" t="s">
        <v>316</v>
      </c>
      <c r="B16" s="32"/>
      <c r="C16" s="13"/>
      <c r="D16" s="13"/>
    </row>
    <row r="17" spans="1:7" x14ac:dyDescent="0.2">
      <c r="A17" s="21"/>
      <c r="B17" s="31"/>
      <c r="C17" s="13"/>
      <c r="D17" s="13"/>
    </row>
    <row r="18" spans="1:7" x14ac:dyDescent="0.2">
      <c r="A18" s="35" t="s">
        <v>298</v>
      </c>
      <c r="B18" s="35"/>
      <c r="C18" s="24"/>
      <c r="D18" s="24"/>
      <c r="E18" s="25"/>
      <c r="F18" s="25"/>
      <c r="G18" s="25"/>
    </row>
    <row r="19" spans="1:7" x14ac:dyDescent="0.2">
      <c r="A19" s="26" t="s">
        <v>237</v>
      </c>
      <c r="B19" t="s">
        <v>161</v>
      </c>
      <c r="C19" s="13"/>
      <c r="D19" s="13"/>
    </row>
    <row r="20" spans="1:7" x14ac:dyDescent="0.2">
      <c r="A20" s="26" t="s">
        <v>242</v>
      </c>
      <c r="B20" t="s">
        <v>46</v>
      </c>
      <c r="C20" s="13"/>
      <c r="D20" s="13"/>
    </row>
    <row r="21" spans="1:7" x14ac:dyDescent="0.2">
      <c r="A21" s="26" t="s">
        <v>235</v>
      </c>
      <c r="B21" t="s">
        <v>85</v>
      </c>
      <c r="C21" s="13"/>
      <c r="D21" s="13"/>
    </row>
    <row r="22" spans="1:7" x14ac:dyDescent="0.2">
      <c r="A22" s="26"/>
      <c r="C22" s="13"/>
      <c r="D22" s="13"/>
    </row>
    <row r="23" spans="1:7" x14ac:dyDescent="0.2">
      <c r="A23" s="36" t="s">
        <v>299</v>
      </c>
      <c r="B23" s="36"/>
      <c r="C23" s="28"/>
      <c r="D23" s="28"/>
      <c r="E23" s="27"/>
      <c r="F23" s="27"/>
      <c r="G23" s="27"/>
    </row>
    <row r="24" spans="1:7" x14ac:dyDescent="0.2">
      <c r="A24" s="4" t="s">
        <v>24</v>
      </c>
      <c r="B24" t="s">
        <v>25</v>
      </c>
    </row>
    <row r="25" spans="1:7" x14ac:dyDescent="0.2">
      <c r="A25" s="4" t="s">
        <v>43</v>
      </c>
      <c r="B25" t="s">
        <v>120</v>
      </c>
      <c r="C25" t="s">
        <v>17</v>
      </c>
    </row>
    <row r="26" spans="1:7" x14ac:dyDescent="0.2">
      <c r="A26" s="4" t="s">
        <v>21</v>
      </c>
      <c r="B26" t="s">
        <v>218</v>
      </c>
      <c r="C26" t="s">
        <v>22</v>
      </c>
    </row>
    <row r="27" spans="1:7" x14ac:dyDescent="0.2">
      <c r="A27" s="4" t="s">
        <v>57</v>
      </c>
      <c r="B27" t="s">
        <v>58</v>
      </c>
      <c r="C27" t="s">
        <v>59</v>
      </c>
    </row>
    <row r="28" spans="1:7" x14ac:dyDescent="0.2">
      <c r="A28" s="4" t="s">
        <v>69</v>
      </c>
      <c r="B28" t="s">
        <v>70</v>
      </c>
      <c r="C28" t="s">
        <v>68</v>
      </c>
    </row>
    <row r="29" spans="1:7" x14ac:dyDescent="0.2">
      <c r="A29" s="4" t="s">
        <v>109</v>
      </c>
      <c r="B29" t="s">
        <v>88</v>
      </c>
      <c r="C29" t="s">
        <v>75</v>
      </c>
    </row>
    <row r="30" spans="1:7" x14ac:dyDescent="0.2">
      <c r="A30" s="4" t="s">
        <v>80</v>
      </c>
      <c r="B30" t="s">
        <v>81</v>
      </c>
      <c r="C30" t="s">
        <v>82</v>
      </c>
    </row>
    <row r="31" spans="1:7" x14ac:dyDescent="0.2">
      <c r="A31" s="4" t="s">
        <v>96</v>
      </c>
      <c r="B31" t="s">
        <v>98</v>
      </c>
      <c r="C31" t="s">
        <v>97</v>
      </c>
    </row>
    <row r="32" spans="1:7" x14ac:dyDescent="0.2">
      <c r="A32" s="4" t="s">
        <v>111</v>
      </c>
      <c r="B32" t="s">
        <v>113</v>
      </c>
      <c r="C32" t="s">
        <v>112</v>
      </c>
    </row>
    <row r="33" spans="1:3" x14ac:dyDescent="0.2">
      <c r="A33" s="4" t="s">
        <v>125</v>
      </c>
      <c r="B33" t="s">
        <v>124</v>
      </c>
      <c r="C33" t="s">
        <v>126</v>
      </c>
    </row>
    <row r="34" spans="1:3" x14ac:dyDescent="0.2">
      <c r="A34" s="4" t="s">
        <v>156</v>
      </c>
      <c r="B34" t="s">
        <v>157</v>
      </c>
      <c r="C34" t="s">
        <v>158</v>
      </c>
    </row>
    <row r="35" spans="1:3" x14ac:dyDescent="0.2">
      <c r="A35" s="4" t="s">
        <v>165</v>
      </c>
      <c r="B35" t="s">
        <v>168</v>
      </c>
      <c r="C35" t="s">
        <v>166</v>
      </c>
    </row>
    <row r="36" spans="1:3" x14ac:dyDescent="0.2">
      <c r="A36" s="4" t="s">
        <v>201</v>
      </c>
      <c r="B36" t="s">
        <v>202</v>
      </c>
      <c r="C36" t="s">
        <v>126</v>
      </c>
    </row>
    <row r="37" spans="1:3" x14ac:dyDescent="0.2">
      <c r="A37" s="4" t="s">
        <v>230</v>
      </c>
      <c r="B37" t="s">
        <v>231</v>
      </c>
      <c r="C37" t="s">
        <v>232</v>
      </c>
    </row>
    <row r="38" spans="1:3" x14ac:dyDescent="0.2">
      <c r="A38" s="4" t="s">
        <v>249</v>
      </c>
      <c r="B38" t="s">
        <v>251</v>
      </c>
      <c r="C38" t="s">
        <v>250</v>
      </c>
    </row>
    <row r="39" spans="1:3" x14ac:dyDescent="0.2">
      <c r="A39" s="4" t="s">
        <v>252</v>
      </c>
      <c r="B39" t="s">
        <v>254</v>
      </c>
      <c r="C39" t="s">
        <v>253</v>
      </c>
    </row>
    <row r="40" spans="1:3" x14ac:dyDescent="0.2">
      <c r="A40" s="4" t="s">
        <v>319</v>
      </c>
      <c r="B40" t="s">
        <v>320</v>
      </c>
      <c r="C40" t="s">
        <v>321</v>
      </c>
    </row>
    <row r="41" spans="1:3" x14ac:dyDescent="0.2">
      <c r="A41" s="4" t="s">
        <v>335</v>
      </c>
      <c r="B41" t="s">
        <v>334</v>
      </c>
      <c r="C41" t="s">
        <v>336</v>
      </c>
    </row>
    <row r="42" spans="1:3" x14ac:dyDescent="0.2">
      <c r="A42" s="4" t="s">
        <v>379</v>
      </c>
      <c r="B42" t="s">
        <v>380</v>
      </c>
      <c r="C42" t="s">
        <v>381</v>
      </c>
    </row>
    <row r="43" spans="1:3" x14ac:dyDescent="0.2">
      <c r="A43" s="4" t="s">
        <v>396</v>
      </c>
      <c r="B43" t="s">
        <v>397</v>
      </c>
      <c r="C43" t="s">
        <v>398</v>
      </c>
    </row>
    <row r="44" spans="1:3" x14ac:dyDescent="0.2">
      <c r="A44" s="4" t="s">
        <v>399</v>
      </c>
      <c r="B44" t="s">
        <v>400</v>
      </c>
      <c r="C44" t="s">
        <v>401</v>
      </c>
    </row>
    <row r="45" spans="1:3" x14ac:dyDescent="0.2">
      <c r="A45" s="4" t="s">
        <v>402</v>
      </c>
      <c r="B45" t="s">
        <v>403</v>
      </c>
      <c r="C45" t="s">
        <v>404</v>
      </c>
    </row>
    <row r="46" spans="1:3" x14ac:dyDescent="0.2">
      <c r="A46" s="4" t="s">
        <v>405</v>
      </c>
      <c r="B46" t="s">
        <v>406</v>
      </c>
      <c r="C46" t="s">
        <v>407</v>
      </c>
    </row>
    <row r="47" spans="1:3" x14ac:dyDescent="0.2">
      <c r="A47" s="4" t="s">
        <v>425</v>
      </c>
      <c r="B47" t="s">
        <v>423</v>
      </c>
      <c r="C47" t="s">
        <v>424</v>
      </c>
    </row>
  </sheetData>
  <mergeCells count="4">
    <mergeCell ref="A6:B6"/>
    <mergeCell ref="A18:B18"/>
    <mergeCell ref="A23:B23"/>
    <mergeCell ref="A3:B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D00A-9E9B-7E4D-AFA3-6F2CA1799FA1}">
  <dimension ref="A1:AP152"/>
  <sheetViews>
    <sheetView tabSelected="1" topLeftCell="AJ1" zoomScale="193" zoomScaleNormal="193" workbookViewId="0">
      <pane ySplit="2080" topLeftCell="A92" activePane="bottomLeft"/>
      <selection activeCell="F1" sqref="F1:Q1"/>
      <selection pane="bottomLeft" activeCell="AO105" sqref="AO105"/>
    </sheetView>
  </sheetViews>
  <sheetFormatPr baseColWidth="10" defaultRowHeight="16" x14ac:dyDescent="0.2"/>
  <cols>
    <col min="4" max="4" width="32" bestFit="1" customWidth="1"/>
    <col min="5" max="5" width="39.83203125" bestFit="1" customWidth="1"/>
    <col min="6" max="6" width="18.1640625" bestFit="1" customWidth="1"/>
    <col min="8" max="8" width="15.6640625" bestFit="1" customWidth="1"/>
    <col min="9" max="9" width="15.33203125" bestFit="1" customWidth="1"/>
    <col min="10" max="10" width="12.33203125" bestFit="1" customWidth="1"/>
    <col min="11" max="11" width="30.33203125" customWidth="1"/>
    <col min="12" max="12" width="9.33203125" customWidth="1"/>
    <col min="13" max="13" width="14.6640625" bestFit="1" customWidth="1"/>
    <col min="14" max="14" width="14.33203125" bestFit="1" customWidth="1"/>
    <col min="15" max="15" width="17.1640625" bestFit="1" customWidth="1"/>
    <col min="17" max="17" width="18.1640625" bestFit="1" customWidth="1"/>
    <col min="18" max="18" width="11.83203125" customWidth="1"/>
    <col min="20" max="20" width="22.83203125" bestFit="1" customWidth="1"/>
    <col min="21" max="21" width="22" bestFit="1" customWidth="1"/>
    <col min="22" max="22" width="20.5" customWidth="1"/>
    <col min="23" max="25" width="13.1640625" customWidth="1"/>
    <col min="26" max="26" width="5.1640625" bestFit="1" customWidth="1"/>
    <col min="27" max="27" width="7" bestFit="1" customWidth="1"/>
    <col min="28" max="28" width="7" customWidth="1"/>
    <col min="29" max="29" width="6.1640625" bestFit="1" customWidth="1"/>
    <col min="34" max="34" width="16.5" bestFit="1" customWidth="1"/>
    <col min="36" max="36" width="19.1640625" bestFit="1" customWidth="1"/>
    <col min="40" max="40" width="35.83203125" bestFit="1" customWidth="1"/>
  </cols>
  <sheetData>
    <row r="1" spans="1:42" s="3" customFormat="1" x14ac:dyDescent="0.2">
      <c r="A1" s="7"/>
      <c r="B1" s="7"/>
      <c r="C1" s="38" t="s">
        <v>9</v>
      </c>
      <c r="D1" s="38"/>
      <c r="E1" s="38"/>
      <c r="F1" s="39" t="s">
        <v>14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2"/>
      <c r="S1" s="40" t="s">
        <v>317</v>
      </c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</row>
    <row r="2" spans="1:42" s="1" customFormat="1" x14ac:dyDescent="0.2">
      <c r="A2" s="8" t="s">
        <v>6</v>
      </c>
      <c r="B2" s="8" t="s">
        <v>293</v>
      </c>
      <c r="C2" s="1" t="s">
        <v>0</v>
      </c>
      <c r="D2" s="1" t="s">
        <v>1</v>
      </c>
      <c r="E2" s="1" t="s">
        <v>2</v>
      </c>
      <c r="F2" s="1" t="s">
        <v>13</v>
      </c>
      <c r="G2" s="1" t="s">
        <v>12</v>
      </c>
      <c r="H2" s="1" t="s">
        <v>489</v>
      </c>
      <c r="I2" s="1" t="s">
        <v>490</v>
      </c>
      <c r="J2" s="1" t="s">
        <v>26</v>
      </c>
      <c r="K2" s="1" t="s">
        <v>28</v>
      </c>
      <c r="L2" s="1" t="s">
        <v>10</v>
      </c>
      <c r="M2" s="1" t="s">
        <v>77</v>
      </c>
      <c r="N2" s="1" t="s">
        <v>49</v>
      </c>
      <c r="O2" s="1" t="s">
        <v>135</v>
      </c>
      <c r="P2" s="1" t="s">
        <v>50</v>
      </c>
      <c r="Q2" s="1" t="s">
        <v>51</v>
      </c>
      <c r="R2" s="1" t="s">
        <v>63</v>
      </c>
      <c r="S2" s="1" t="s">
        <v>7</v>
      </c>
      <c r="T2" s="1" t="s">
        <v>8</v>
      </c>
      <c r="U2" s="1" t="s">
        <v>40</v>
      </c>
      <c r="V2" s="1" t="s">
        <v>42</v>
      </c>
      <c r="W2" s="1" t="s">
        <v>41</v>
      </c>
      <c r="X2" s="1" t="s">
        <v>52</v>
      </c>
      <c r="Y2" s="1" t="s">
        <v>65</v>
      </c>
      <c r="Z2" s="1" t="s">
        <v>36</v>
      </c>
      <c r="AA2" s="1" t="s">
        <v>39</v>
      </c>
      <c r="AB2" s="1" t="s">
        <v>287</v>
      </c>
      <c r="AC2" s="1" t="s">
        <v>33</v>
      </c>
      <c r="AD2" s="1" t="s">
        <v>45</v>
      </c>
      <c r="AE2" s="1" t="s">
        <v>54</v>
      </c>
      <c r="AF2" s="1" t="s">
        <v>66</v>
      </c>
      <c r="AG2" s="1" t="s">
        <v>151</v>
      </c>
      <c r="AH2" s="1" t="s">
        <v>223</v>
      </c>
      <c r="AI2" s="1" t="s">
        <v>224</v>
      </c>
      <c r="AJ2" s="1" t="s">
        <v>122</v>
      </c>
      <c r="AK2" s="1" t="s">
        <v>177</v>
      </c>
      <c r="AL2" s="1" t="s">
        <v>196</v>
      </c>
      <c r="AM2" s="1" t="s">
        <v>508</v>
      </c>
      <c r="AN2" s="1" t="s">
        <v>509</v>
      </c>
      <c r="AO2" s="1" t="s">
        <v>510</v>
      </c>
      <c r="AP2" s="1" t="s">
        <v>266</v>
      </c>
    </row>
    <row r="3" spans="1:42" x14ac:dyDescent="0.2">
      <c r="C3" t="s">
        <v>3</v>
      </c>
      <c r="D3" t="s">
        <v>4</v>
      </c>
      <c r="E3" t="s">
        <v>5</v>
      </c>
      <c r="F3" t="s">
        <v>44</v>
      </c>
      <c r="J3" t="s">
        <v>27</v>
      </c>
      <c r="K3" t="s">
        <v>29</v>
      </c>
      <c r="L3" t="s">
        <v>11</v>
      </c>
      <c r="P3">
        <v>1</v>
      </c>
      <c r="Q3" t="s">
        <v>47</v>
      </c>
      <c r="T3" t="s">
        <v>15</v>
      </c>
      <c r="U3" t="s">
        <v>16</v>
      </c>
      <c r="V3" t="s">
        <v>136</v>
      </c>
      <c r="X3" t="s">
        <v>53</v>
      </c>
      <c r="Z3" t="s">
        <v>37</v>
      </c>
      <c r="AC3" t="s">
        <v>34</v>
      </c>
      <c r="AE3" t="s">
        <v>243</v>
      </c>
      <c r="AJ3">
        <v>2</v>
      </c>
    </row>
    <row r="4" spans="1:42" x14ac:dyDescent="0.2">
      <c r="C4" t="s">
        <v>3</v>
      </c>
      <c r="D4" t="s">
        <v>4</v>
      </c>
      <c r="E4" t="s">
        <v>5</v>
      </c>
      <c r="F4" t="s">
        <v>23</v>
      </c>
      <c r="J4" t="s">
        <v>27</v>
      </c>
      <c r="K4" t="s">
        <v>30</v>
      </c>
      <c r="L4" t="s">
        <v>11</v>
      </c>
      <c r="P4">
        <v>1</v>
      </c>
      <c r="Q4" t="s">
        <v>47</v>
      </c>
      <c r="Z4" t="s">
        <v>37</v>
      </c>
      <c r="AC4" t="s">
        <v>34</v>
      </c>
    </row>
    <row r="5" spans="1:42" x14ac:dyDescent="0.2">
      <c r="C5" t="s">
        <v>3</v>
      </c>
      <c r="D5" t="s">
        <v>4</v>
      </c>
      <c r="E5" t="s">
        <v>5</v>
      </c>
      <c r="F5" t="s">
        <v>44</v>
      </c>
      <c r="J5" t="s">
        <v>27</v>
      </c>
      <c r="K5" t="s">
        <v>31</v>
      </c>
      <c r="L5" t="s">
        <v>11</v>
      </c>
      <c r="N5">
        <v>2019</v>
      </c>
      <c r="Z5" t="s">
        <v>38</v>
      </c>
      <c r="AA5">
        <v>1</v>
      </c>
      <c r="AC5" t="s">
        <v>35</v>
      </c>
    </row>
    <row r="6" spans="1:42" x14ac:dyDescent="0.2">
      <c r="C6" t="s">
        <v>3</v>
      </c>
      <c r="D6" t="s">
        <v>4</v>
      </c>
      <c r="E6" t="s">
        <v>5</v>
      </c>
      <c r="F6" t="s">
        <v>23</v>
      </c>
      <c r="J6" t="s">
        <v>27</v>
      </c>
      <c r="K6" t="s">
        <v>32</v>
      </c>
      <c r="L6" t="s">
        <v>11</v>
      </c>
      <c r="N6">
        <v>2019</v>
      </c>
      <c r="Z6" t="s">
        <v>38</v>
      </c>
      <c r="AA6">
        <v>3</v>
      </c>
      <c r="AC6" t="s">
        <v>35</v>
      </c>
    </row>
    <row r="7" spans="1:42" x14ac:dyDescent="0.2">
      <c r="C7" t="s">
        <v>3</v>
      </c>
      <c r="D7" t="s">
        <v>4</v>
      </c>
      <c r="E7" t="s">
        <v>55</v>
      </c>
      <c r="F7" t="s">
        <v>60</v>
      </c>
      <c r="G7" t="s">
        <v>61</v>
      </c>
      <c r="J7" t="s">
        <v>62</v>
      </c>
      <c r="L7" t="s">
        <v>56</v>
      </c>
      <c r="N7">
        <v>2021</v>
      </c>
      <c r="R7" t="s">
        <v>47</v>
      </c>
      <c r="T7" t="s">
        <v>55</v>
      </c>
      <c r="U7" t="s">
        <v>333</v>
      </c>
      <c r="X7" t="s">
        <v>53</v>
      </c>
      <c r="Y7" t="s">
        <v>64</v>
      </c>
    </row>
    <row r="8" spans="1:42" x14ac:dyDescent="0.2">
      <c r="C8" t="s">
        <v>3</v>
      </c>
      <c r="D8" t="s">
        <v>4</v>
      </c>
      <c r="E8" t="s">
        <v>71</v>
      </c>
      <c r="F8" t="s">
        <v>110</v>
      </c>
      <c r="G8" t="s">
        <v>61</v>
      </c>
      <c r="J8" t="s">
        <v>76</v>
      </c>
      <c r="L8" t="s">
        <v>11</v>
      </c>
      <c r="M8" t="s">
        <v>56</v>
      </c>
      <c r="T8" t="s">
        <v>71</v>
      </c>
      <c r="U8" s="9" t="s">
        <v>48</v>
      </c>
      <c r="X8" t="s">
        <v>74</v>
      </c>
      <c r="Y8" t="s">
        <v>64</v>
      </c>
    </row>
    <row r="9" spans="1:42" x14ac:dyDescent="0.2">
      <c r="C9" t="s">
        <v>3</v>
      </c>
      <c r="D9" t="s">
        <v>4</v>
      </c>
      <c r="E9" t="s">
        <v>67</v>
      </c>
      <c r="F9" t="s">
        <v>72</v>
      </c>
      <c r="G9" t="s">
        <v>61</v>
      </c>
      <c r="J9" t="s">
        <v>73</v>
      </c>
      <c r="L9" t="s">
        <v>56</v>
      </c>
      <c r="N9">
        <v>2021</v>
      </c>
      <c r="R9" t="s">
        <v>47</v>
      </c>
      <c r="T9" t="s">
        <v>67</v>
      </c>
      <c r="U9" t="s">
        <v>333</v>
      </c>
      <c r="X9" t="s">
        <v>53</v>
      </c>
      <c r="Y9" t="s">
        <v>64</v>
      </c>
    </row>
    <row r="10" spans="1:42" x14ac:dyDescent="0.2">
      <c r="C10" t="s">
        <v>3</v>
      </c>
      <c r="D10" t="s">
        <v>78</v>
      </c>
      <c r="E10" t="s">
        <v>79</v>
      </c>
      <c r="F10" t="s">
        <v>83</v>
      </c>
      <c r="G10" t="s">
        <v>61</v>
      </c>
      <c r="J10" t="s">
        <v>84</v>
      </c>
      <c r="L10" t="s">
        <v>56</v>
      </c>
      <c r="T10" t="s">
        <v>79</v>
      </c>
      <c r="U10" s="9" t="s">
        <v>48</v>
      </c>
      <c r="X10" t="s">
        <v>53</v>
      </c>
      <c r="Y10" t="s">
        <v>64</v>
      </c>
      <c r="AE10" t="s">
        <v>236</v>
      </c>
    </row>
    <row r="11" spans="1:42" x14ac:dyDescent="0.2">
      <c r="C11" t="s">
        <v>3</v>
      </c>
      <c r="D11" t="s">
        <v>78</v>
      </c>
      <c r="E11" t="s">
        <v>87</v>
      </c>
      <c r="F11" t="s">
        <v>110</v>
      </c>
      <c r="G11" t="s">
        <v>61</v>
      </c>
      <c r="J11" t="s">
        <v>89</v>
      </c>
      <c r="K11" t="s">
        <v>91</v>
      </c>
      <c r="L11" t="s">
        <v>11</v>
      </c>
      <c r="M11" t="s">
        <v>56</v>
      </c>
      <c r="R11" t="s">
        <v>47</v>
      </c>
      <c r="T11" t="s">
        <v>93</v>
      </c>
      <c r="U11" t="s">
        <v>86</v>
      </c>
      <c r="X11" t="s">
        <v>74</v>
      </c>
    </row>
    <row r="12" spans="1:42" x14ac:dyDescent="0.2">
      <c r="C12" t="s">
        <v>3</v>
      </c>
      <c r="D12" t="s">
        <v>78</v>
      </c>
      <c r="E12" t="s">
        <v>87</v>
      </c>
      <c r="F12" t="s">
        <v>110</v>
      </c>
      <c r="G12" t="s">
        <v>61</v>
      </c>
      <c r="J12" t="s">
        <v>90</v>
      </c>
      <c r="K12" t="s">
        <v>92</v>
      </c>
      <c r="L12" t="s">
        <v>11</v>
      </c>
      <c r="M12" t="s">
        <v>56</v>
      </c>
      <c r="R12" t="s">
        <v>47</v>
      </c>
    </row>
    <row r="13" spans="1:42" s="42" customFormat="1" x14ac:dyDescent="0.2">
      <c r="B13" s="42" t="s">
        <v>488</v>
      </c>
      <c r="C13" s="42" t="s">
        <v>3</v>
      </c>
      <c r="D13" s="42" t="s">
        <v>78</v>
      </c>
      <c r="E13" s="42" t="s">
        <v>94</v>
      </c>
      <c r="F13" s="42" t="s">
        <v>99</v>
      </c>
      <c r="G13" s="42" t="s">
        <v>101</v>
      </c>
      <c r="H13" s="42">
        <v>120</v>
      </c>
      <c r="I13" s="42">
        <v>3</v>
      </c>
      <c r="J13" s="42" t="s">
        <v>102</v>
      </c>
      <c r="L13" s="42" t="s">
        <v>56</v>
      </c>
      <c r="T13" s="42" t="s">
        <v>94</v>
      </c>
      <c r="U13" s="42" t="s">
        <v>95</v>
      </c>
      <c r="X13" s="49" t="s">
        <v>100</v>
      </c>
      <c r="Y13" s="42" t="s">
        <v>64</v>
      </c>
      <c r="AE13" s="42" t="s">
        <v>236</v>
      </c>
    </row>
    <row r="14" spans="1:42" x14ac:dyDescent="0.2">
      <c r="C14" t="s">
        <v>3</v>
      </c>
      <c r="D14" t="s">
        <v>78</v>
      </c>
      <c r="E14" t="s">
        <v>103</v>
      </c>
      <c r="F14" t="s">
        <v>110</v>
      </c>
      <c r="G14" t="s">
        <v>61</v>
      </c>
      <c r="J14" t="s">
        <v>105</v>
      </c>
      <c r="K14" t="s">
        <v>108</v>
      </c>
      <c r="L14" t="s">
        <v>56</v>
      </c>
      <c r="T14" t="s">
        <v>103</v>
      </c>
      <c r="U14" t="s">
        <v>104</v>
      </c>
      <c r="X14" t="s">
        <v>74</v>
      </c>
    </row>
    <row r="15" spans="1:42" x14ac:dyDescent="0.2">
      <c r="C15" t="s">
        <v>3</v>
      </c>
      <c r="D15" t="s">
        <v>78</v>
      </c>
      <c r="E15" t="s">
        <v>103</v>
      </c>
      <c r="F15" t="s">
        <v>110</v>
      </c>
      <c r="G15" t="s">
        <v>61</v>
      </c>
      <c r="J15" t="s">
        <v>106</v>
      </c>
      <c r="K15" t="s">
        <v>91</v>
      </c>
      <c r="L15" t="s">
        <v>56</v>
      </c>
    </row>
    <row r="16" spans="1:42" x14ac:dyDescent="0.2">
      <c r="C16" t="s">
        <v>3</v>
      </c>
      <c r="D16" t="s">
        <v>78</v>
      </c>
      <c r="E16" t="s">
        <v>103</v>
      </c>
      <c r="F16" t="s">
        <v>110</v>
      </c>
      <c r="G16" t="s">
        <v>61</v>
      </c>
      <c r="J16" t="s">
        <v>107</v>
      </c>
      <c r="K16" t="s">
        <v>92</v>
      </c>
      <c r="L16" t="s">
        <v>56</v>
      </c>
    </row>
    <row r="17" spans="3:36" x14ac:dyDescent="0.2">
      <c r="C17" t="s">
        <v>3</v>
      </c>
      <c r="D17" t="s">
        <v>78</v>
      </c>
      <c r="E17" t="s">
        <v>115</v>
      </c>
      <c r="F17" t="s">
        <v>114</v>
      </c>
      <c r="G17" t="s">
        <v>61</v>
      </c>
      <c r="J17" t="s">
        <v>117</v>
      </c>
      <c r="L17" t="s">
        <v>56</v>
      </c>
      <c r="T17" t="s">
        <v>115</v>
      </c>
      <c r="U17" t="s">
        <v>116</v>
      </c>
      <c r="X17" t="s">
        <v>53</v>
      </c>
      <c r="Y17" t="s">
        <v>64</v>
      </c>
      <c r="AE17" t="s">
        <v>236</v>
      </c>
    </row>
    <row r="18" spans="3:36" x14ac:dyDescent="0.2">
      <c r="C18" t="s">
        <v>3</v>
      </c>
      <c r="D18" s="10" t="s">
        <v>118</v>
      </c>
      <c r="E18" t="s">
        <v>119</v>
      </c>
      <c r="F18" t="s">
        <v>44</v>
      </c>
      <c r="J18" t="s">
        <v>121</v>
      </c>
      <c r="K18" t="s">
        <v>29</v>
      </c>
      <c r="L18" t="s">
        <v>11</v>
      </c>
      <c r="P18">
        <v>1</v>
      </c>
      <c r="Q18" t="s">
        <v>47</v>
      </c>
      <c r="T18" t="s">
        <v>119</v>
      </c>
      <c r="U18" t="s">
        <v>16</v>
      </c>
      <c r="V18" t="s">
        <v>136</v>
      </c>
      <c r="X18" t="s">
        <v>53</v>
      </c>
      <c r="Z18" t="s">
        <v>37</v>
      </c>
      <c r="AC18" t="s">
        <v>34</v>
      </c>
      <c r="AE18" t="s">
        <v>243</v>
      </c>
      <c r="AJ18">
        <v>2</v>
      </c>
    </row>
    <row r="19" spans="3:36" x14ac:dyDescent="0.2">
      <c r="C19" t="s">
        <v>3</v>
      </c>
      <c r="D19" s="10" t="s">
        <v>118</v>
      </c>
      <c r="E19" t="s">
        <v>119</v>
      </c>
      <c r="F19" t="s">
        <v>23</v>
      </c>
      <c r="J19" t="s">
        <v>121</v>
      </c>
      <c r="K19" t="s">
        <v>30</v>
      </c>
      <c r="L19" t="s">
        <v>11</v>
      </c>
      <c r="P19">
        <v>1</v>
      </c>
      <c r="Q19" t="s">
        <v>47</v>
      </c>
      <c r="Z19" t="s">
        <v>37</v>
      </c>
      <c r="AC19" t="s">
        <v>34</v>
      </c>
    </row>
    <row r="20" spans="3:36" x14ac:dyDescent="0.2">
      <c r="C20" t="s">
        <v>3</v>
      </c>
      <c r="D20" s="10" t="s">
        <v>118</v>
      </c>
      <c r="E20" t="s">
        <v>119</v>
      </c>
      <c r="F20" t="s">
        <v>44</v>
      </c>
      <c r="J20" t="s">
        <v>121</v>
      </c>
      <c r="K20" t="s">
        <v>31</v>
      </c>
      <c r="L20" t="s">
        <v>11</v>
      </c>
      <c r="N20">
        <v>2019</v>
      </c>
      <c r="Z20" t="s">
        <v>38</v>
      </c>
      <c r="AA20">
        <v>1</v>
      </c>
      <c r="AC20" t="s">
        <v>35</v>
      </c>
    </row>
    <row r="21" spans="3:36" x14ac:dyDescent="0.2">
      <c r="C21" t="s">
        <v>3</v>
      </c>
      <c r="D21" s="10" t="s">
        <v>118</v>
      </c>
      <c r="E21" t="s">
        <v>119</v>
      </c>
      <c r="F21" t="s">
        <v>23</v>
      </c>
      <c r="J21" t="s">
        <v>121</v>
      </c>
      <c r="K21" t="s">
        <v>32</v>
      </c>
      <c r="L21" t="s">
        <v>11</v>
      </c>
      <c r="N21">
        <v>2019</v>
      </c>
      <c r="Z21" t="s">
        <v>38</v>
      </c>
      <c r="AA21">
        <v>3</v>
      </c>
      <c r="AC21" t="s">
        <v>35</v>
      </c>
    </row>
    <row r="22" spans="3:36" x14ac:dyDescent="0.2">
      <c r="C22" t="s">
        <v>3</v>
      </c>
      <c r="D22" s="10" t="s">
        <v>118</v>
      </c>
      <c r="E22" t="s">
        <v>123</v>
      </c>
      <c r="F22" t="s">
        <v>130</v>
      </c>
      <c r="G22" t="s">
        <v>131</v>
      </c>
      <c r="J22" t="s">
        <v>127</v>
      </c>
      <c r="K22" t="s">
        <v>132</v>
      </c>
      <c r="L22" t="s">
        <v>11</v>
      </c>
      <c r="O22">
        <v>2019</v>
      </c>
      <c r="T22" t="s">
        <v>309</v>
      </c>
      <c r="U22" t="s">
        <v>136</v>
      </c>
      <c r="X22" t="s">
        <v>53</v>
      </c>
      <c r="AE22" t="s">
        <v>238</v>
      </c>
    </row>
    <row r="23" spans="3:36" x14ac:dyDescent="0.2">
      <c r="C23" t="s">
        <v>3</v>
      </c>
      <c r="D23" s="10" t="s">
        <v>118</v>
      </c>
      <c r="E23" t="s">
        <v>123</v>
      </c>
      <c r="F23" t="s">
        <v>130</v>
      </c>
      <c r="G23" t="s">
        <v>131</v>
      </c>
      <c r="J23" t="s">
        <v>128</v>
      </c>
      <c r="K23" t="s">
        <v>133</v>
      </c>
      <c r="L23" t="s">
        <v>11</v>
      </c>
      <c r="O23">
        <v>2019</v>
      </c>
    </row>
    <row r="24" spans="3:36" x14ac:dyDescent="0.2">
      <c r="C24" t="s">
        <v>3</v>
      </c>
      <c r="D24" s="10" t="s">
        <v>118</v>
      </c>
      <c r="E24" t="s">
        <v>123</v>
      </c>
      <c r="F24" t="s">
        <v>130</v>
      </c>
      <c r="G24" t="s">
        <v>131</v>
      </c>
      <c r="J24" t="s">
        <v>129</v>
      </c>
      <c r="K24" t="s">
        <v>134</v>
      </c>
      <c r="L24" t="s">
        <v>11</v>
      </c>
      <c r="O24">
        <v>2019</v>
      </c>
    </row>
    <row r="25" spans="3:36" x14ac:dyDescent="0.2">
      <c r="C25" t="s">
        <v>3</v>
      </c>
      <c r="D25" s="10" t="s">
        <v>118</v>
      </c>
      <c r="E25" t="s">
        <v>137</v>
      </c>
      <c r="F25" t="s">
        <v>130</v>
      </c>
      <c r="G25" t="s">
        <v>131</v>
      </c>
      <c r="J25" t="s">
        <v>139</v>
      </c>
      <c r="K25" s="11" t="s">
        <v>144</v>
      </c>
      <c r="L25" t="s">
        <v>11</v>
      </c>
      <c r="O25">
        <v>2019</v>
      </c>
      <c r="T25" t="s">
        <v>138</v>
      </c>
      <c r="U25" t="s">
        <v>136</v>
      </c>
      <c r="X25" t="s">
        <v>53</v>
      </c>
      <c r="AE25" t="s">
        <v>238</v>
      </c>
    </row>
    <row r="26" spans="3:36" x14ac:dyDescent="0.2">
      <c r="C26" t="s">
        <v>3</v>
      </c>
      <c r="D26" s="10" t="s">
        <v>118</v>
      </c>
      <c r="E26" t="s">
        <v>137</v>
      </c>
      <c r="F26" t="s">
        <v>130</v>
      </c>
      <c r="G26" t="s">
        <v>131</v>
      </c>
      <c r="J26" t="s">
        <v>140</v>
      </c>
      <c r="K26" s="11" t="s">
        <v>145</v>
      </c>
      <c r="L26" t="s">
        <v>11</v>
      </c>
      <c r="O26">
        <v>2019</v>
      </c>
    </row>
    <row r="27" spans="3:36" x14ac:dyDescent="0.2">
      <c r="C27" t="s">
        <v>3</v>
      </c>
      <c r="D27" s="10" t="s">
        <v>118</v>
      </c>
      <c r="E27" t="s">
        <v>137</v>
      </c>
      <c r="F27" t="s">
        <v>130</v>
      </c>
      <c r="G27" t="s">
        <v>131</v>
      </c>
      <c r="J27" t="s">
        <v>141</v>
      </c>
      <c r="K27" s="11" t="s">
        <v>311</v>
      </c>
      <c r="L27" t="s">
        <v>11</v>
      </c>
      <c r="O27">
        <v>2019</v>
      </c>
    </row>
    <row r="28" spans="3:36" x14ac:dyDescent="0.2">
      <c r="C28" t="s">
        <v>3</v>
      </c>
      <c r="D28" s="10" t="s">
        <v>118</v>
      </c>
      <c r="E28" t="s">
        <v>137</v>
      </c>
      <c r="F28" t="s">
        <v>130</v>
      </c>
      <c r="G28" t="s">
        <v>131</v>
      </c>
      <c r="J28" t="s">
        <v>142</v>
      </c>
      <c r="K28" s="11" t="s">
        <v>146</v>
      </c>
      <c r="L28" t="s">
        <v>11</v>
      </c>
      <c r="O28">
        <v>2019</v>
      </c>
    </row>
    <row r="29" spans="3:36" x14ac:dyDescent="0.2">
      <c r="C29" t="s">
        <v>3</v>
      </c>
      <c r="D29" s="10" t="s">
        <v>118</v>
      </c>
      <c r="E29" t="s">
        <v>137</v>
      </c>
      <c r="F29" t="s">
        <v>130</v>
      </c>
      <c r="G29" t="s">
        <v>131</v>
      </c>
      <c r="J29" t="s">
        <v>143</v>
      </c>
      <c r="K29" s="11" t="s">
        <v>147</v>
      </c>
      <c r="L29" t="s">
        <v>11</v>
      </c>
      <c r="O29">
        <v>2019</v>
      </c>
    </row>
    <row r="30" spans="3:36" x14ac:dyDescent="0.2">
      <c r="C30" t="s">
        <v>3</v>
      </c>
      <c r="D30" s="10" t="s">
        <v>148</v>
      </c>
      <c r="E30" t="s">
        <v>148</v>
      </c>
      <c r="F30" t="s">
        <v>44</v>
      </c>
      <c r="J30" t="s">
        <v>149</v>
      </c>
      <c r="K30" t="s">
        <v>29</v>
      </c>
      <c r="L30" t="s">
        <v>11</v>
      </c>
      <c r="P30">
        <v>1</v>
      </c>
      <c r="Q30" t="s">
        <v>47</v>
      </c>
      <c r="T30" t="s">
        <v>148</v>
      </c>
      <c r="U30" t="s">
        <v>16</v>
      </c>
      <c r="V30" t="s">
        <v>136</v>
      </c>
      <c r="X30" t="s">
        <v>53</v>
      </c>
      <c r="Z30" t="s">
        <v>37</v>
      </c>
      <c r="AC30" t="s">
        <v>34</v>
      </c>
      <c r="AE30" t="s">
        <v>243</v>
      </c>
      <c r="AG30" t="s">
        <v>150</v>
      </c>
      <c r="AJ30">
        <v>2</v>
      </c>
    </row>
    <row r="31" spans="3:36" x14ac:dyDescent="0.2">
      <c r="C31" t="s">
        <v>3</v>
      </c>
      <c r="D31" s="10" t="s">
        <v>148</v>
      </c>
      <c r="E31" t="s">
        <v>148</v>
      </c>
      <c r="F31" t="s">
        <v>23</v>
      </c>
      <c r="J31" t="s">
        <v>149</v>
      </c>
      <c r="K31" t="s">
        <v>30</v>
      </c>
      <c r="L31" t="s">
        <v>11</v>
      </c>
      <c r="P31">
        <v>1</v>
      </c>
      <c r="Q31" t="s">
        <v>47</v>
      </c>
      <c r="Z31" t="s">
        <v>37</v>
      </c>
      <c r="AC31" t="s">
        <v>34</v>
      </c>
    </row>
    <row r="32" spans="3:36" x14ac:dyDescent="0.2">
      <c r="C32" t="s">
        <v>3</v>
      </c>
      <c r="D32" s="10" t="s">
        <v>148</v>
      </c>
      <c r="E32" t="s">
        <v>148</v>
      </c>
      <c r="F32" t="s">
        <v>44</v>
      </c>
      <c r="J32" t="s">
        <v>149</v>
      </c>
      <c r="K32" t="s">
        <v>31</v>
      </c>
      <c r="L32" t="s">
        <v>11</v>
      </c>
      <c r="N32">
        <v>2019</v>
      </c>
      <c r="Z32" t="s">
        <v>38</v>
      </c>
      <c r="AA32">
        <v>1</v>
      </c>
      <c r="AC32" t="s">
        <v>35</v>
      </c>
    </row>
    <row r="33" spans="3:38" x14ac:dyDescent="0.2">
      <c r="C33" t="s">
        <v>3</v>
      </c>
      <c r="D33" s="10" t="s">
        <v>148</v>
      </c>
      <c r="E33" t="s">
        <v>148</v>
      </c>
      <c r="F33" t="s">
        <v>23</v>
      </c>
      <c r="J33" t="s">
        <v>149</v>
      </c>
      <c r="K33" t="s">
        <v>32</v>
      </c>
      <c r="L33" t="s">
        <v>11</v>
      </c>
      <c r="N33">
        <v>2019</v>
      </c>
      <c r="Z33" t="s">
        <v>38</v>
      </c>
      <c r="AA33">
        <v>3</v>
      </c>
      <c r="AC33" t="s">
        <v>35</v>
      </c>
    </row>
    <row r="34" spans="3:38" x14ac:dyDescent="0.2">
      <c r="C34" t="s">
        <v>3</v>
      </c>
      <c r="D34" s="10" t="s">
        <v>148</v>
      </c>
      <c r="E34" t="s">
        <v>152</v>
      </c>
      <c r="F34" s="12" t="s">
        <v>155</v>
      </c>
      <c r="G34" t="s">
        <v>61</v>
      </c>
      <c r="J34" t="s">
        <v>160</v>
      </c>
      <c r="L34" t="s">
        <v>56</v>
      </c>
      <c r="P34">
        <v>1</v>
      </c>
      <c r="Q34" t="s">
        <v>47</v>
      </c>
      <c r="R34" t="s">
        <v>47</v>
      </c>
      <c r="T34" t="s">
        <v>153</v>
      </c>
      <c r="U34" t="s">
        <v>154</v>
      </c>
      <c r="X34" t="s">
        <v>53</v>
      </c>
      <c r="Y34" t="s">
        <v>64</v>
      </c>
      <c r="AE34" t="s">
        <v>238</v>
      </c>
    </row>
    <row r="35" spans="3:38" x14ac:dyDescent="0.2">
      <c r="C35" t="s">
        <v>3</v>
      </c>
      <c r="D35" s="10" t="s">
        <v>148</v>
      </c>
      <c r="E35" t="s">
        <v>162</v>
      </c>
      <c r="F35" t="s">
        <v>167</v>
      </c>
      <c r="G35" t="s">
        <v>61</v>
      </c>
      <c r="J35" t="s">
        <v>164</v>
      </c>
      <c r="L35" t="s">
        <v>56</v>
      </c>
      <c r="N35">
        <v>2021</v>
      </c>
      <c r="T35" t="s">
        <v>310</v>
      </c>
      <c r="U35" t="s">
        <v>163</v>
      </c>
      <c r="X35" t="s">
        <v>53</v>
      </c>
      <c r="Y35" t="s">
        <v>64</v>
      </c>
      <c r="AE35" t="s">
        <v>236</v>
      </c>
    </row>
    <row r="36" spans="3:38" x14ac:dyDescent="0.2">
      <c r="C36" t="s">
        <v>3</v>
      </c>
      <c r="D36" s="10" t="s">
        <v>148</v>
      </c>
      <c r="E36" t="s">
        <v>169</v>
      </c>
      <c r="F36" t="s">
        <v>167</v>
      </c>
      <c r="G36" t="s">
        <v>61</v>
      </c>
      <c r="J36" t="s">
        <v>170</v>
      </c>
      <c r="K36" t="s">
        <v>173</v>
      </c>
      <c r="L36" t="s">
        <v>56</v>
      </c>
      <c r="N36">
        <v>2021</v>
      </c>
      <c r="T36" t="s">
        <v>178</v>
      </c>
      <c r="U36" t="s">
        <v>179</v>
      </c>
      <c r="V36" t="s">
        <v>180</v>
      </c>
      <c r="X36" t="s">
        <v>53</v>
      </c>
      <c r="AC36" t="s">
        <v>34</v>
      </c>
      <c r="AK36">
        <v>100</v>
      </c>
    </row>
    <row r="37" spans="3:38" x14ac:dyDescent="0.2">
      <c r="C37" t="s">
        <v>3</v>
      </c>
      <c r="D37" s="10" t="s">
        <v>148</v>
      </c>
      <c r="E37" t="s">
        <v>169</v>
      </c>
      <c r="F37" t="s">
        <v>167</v>
      </c>
      <c r="G37" t="s">
        <v>61</v>
      </c>
      <c r="J37" t="s">
        <v>171</v>
      </c>
      <c r="K37" t="s">
        <v>176</v>
      </c>
      <c r="L37" t="s">
        <v>56</v>
      </c>
      <c r="N37">
        <v>2021</v>
      </c>
      <c r="AC37" t="s">
        <v>34</v>
      </c>
    </row>
    <row r="38" spans="3:38" x14ac:dyDescent="0.2">
      <c r="C38" t="s">
        <v>3</v>
      </c>
      <c r="D38" s="10" t="s">
        <v>148</v>
      </c>
      <c r="E38" t="s">
        <v>169</v>
      </c>
      <c r="F38" t="s">
        <v>167</v>
      </c>
      <c r="G38" t="s">
        <v>61</v>
      </c>
      <c r="J38" t="s">
        <v>172</v>
      </c>
      <c r="K38" t="s">
        <v>175</v>
      </c>
      <c r="L38" t="s">
        <v>56</v>
      </c>
      <c r="N38">
        <v>2021</v>
      </c>
      <c r="AC38" t="s">
        <v>35</v>
      </c>
      <c r="AG38" t="s">
        <v>174</v>
      </c>
    </row>
    <row r="39" spans="3:38" x14ac:dyDescent="0.2">
      <c r="C39" t="s">
        <v>3</v>
      </c>
      <c r="D39" s="10" t="s">
        <v>148</v>
      </c>
      <c r="E39" t="s">
        <v>181</v>
      </c>
      <c r="F39" t="s">
        <v>155</v>
      </c>
      <c r="G39" t="s">
        <v>61</v>
      </c>
      <c r="J39" t="s">
        <v>182</v>
      </c>
      <c r="K39" t="s">
        <v>186</v>
      </c>
      <c r="L39" t="s">
        <v>56</v>
      </c>
      <c r="N39">
        <v>2021</v>
      </c>
      <c r="R39" t="s">
        <v>47</v>
      </c>
      <c r="T39" t="s">
        <v>181</v>
      </c>
      <c r="U39" t="s">
        <v>190</v>
      </c>
      <c r="X39" t="s">
        <v>53</v>
      </c>
      <c r="AE39" t="s">
        <v>236</v>
      </c>
      <c r="AK39">
        <v>100</v>
      </c>
    </row>
    <row r="40" spans="3:38" x14ac:dyDescent="0.2">
      <c r="C40" t="s">
        <v>3</v>
      </c>
      <c r="D40" s="10" t="s">
        <v>148</v>
      </c>
      <c r="E40" t="s">
        <v>181</v>
      </c>
      <c r="F40" t="s">
        <v>155</v>
      </c>
      <c r="G40" t="s">
        <v>61</v>
      </c>
      <c r="J40" t="s">
        <v>183</v>
      </c>
      <c r="K40" t="s">
        <v>187</v>
      </c>
      <c r="L40" t="s">
        <v>56</v>
      </c>
      <c r="N40">
        <v>2021</v>
      </c>
      <c r="R40" t="s">
        <v>47</v>
      </c>
    </row>
    <row r="41" spans="3:38" x14ac:dyDescent="0.2">
      <c r="C41" t="s">
        <v>3</v>
      </c>
      <c r="D41" s="10" t="s">
        <v>148</v>
      </c>
      <c r="E41" t="s">
        <v>181</v>
      </c>
      <c r="F41" t="s">
        <v>155</v>
      </c>
      <c r="G41" t="s">
        <v>61</v>
      </c>
      <c r="J41" t="s">
        <v>184</v>
      </c>
      <c r="K41" t="s">
        <v>188</v>
      </c>
      <c r="L41" t="s">
        <v>56</v>
      </c>
      <c r="N41">
        <v>2021</v>
      </c>
      <c r="R41" t="s">
        <v>47</v>
      </c>
    </row>
    <row r="42" spans="3:38" x14ac:dyDescent="0.2">
      <c r="C42" t="s">
        <v>3</v>
      </c>
      <c r="D42" s="10" t="s">
        <v>148</v>
      </c>
      <c r="E42" t="s">
        <v>181</v>
      </c>
      <c r="F42" t="s">
        <v>155</v>
      </c>
      <c r="G42" t="s">
        <v>61</v>
      </c>
      <c r="J42" t="s">
        <v>185</v>
      </c>
      <c r="K42" t="s">
        <v>189</v>
      </c>
      <c r="L42" t="s">
        <v>56</v>
      </c>
      <c r="N42">
        <v>2021</v>
      </c>
      <c r="R42" t="s">
        <v>47</v>
      </c>
    </row>
    <row r="43" spans="3:38" x14ac:dyDescent="0.2">
      <c r="C43" t="s">
        <v>3</v>
      </c>
      <c r="D43" s="10" t="s">
        <v>148</v>
      </c>
      <c r="E43" t="s">
        <v>191</v>
      </c>
      <c r="F43" t="s">
        <v>99</v>
      </c>
      <c r="G43" t="s">
        <v>101</v>
      </c>
      <c r="H43" s="42">
        <v>120</v>
      </c>
      <c r="I43" s="42">
        <v>3</v>
      </c>
      <c r="J43" s="14" t="s">
        <v>193</v>
      </c>
      <c r="K43" s="14" t="s">
        <v>194</v>
      </c>
      <c r="L43" t="s">
        <v>56</v>
      </c>
      <c r="P43">
        <v>1</v>
      </c>
      <c r="Q43" t="s">
        <v>47</v>
      </c>
      <c r="R43" t="s">
        <v>47</v>
      </c>
      <c r="T43" t="s">
        <v>191</v>
      </c>
      <c r="U43" t="s">
        <v>197</v>
      </c>
      <c r="X43" t="s">
        <v>192</v>
      </c>
      <c r="Z43" t="s">
        <v>37</v>
      </c>
      <c r="AC43" t="s">
        <v>34</v>
      </c>
      <c r="AE43" t="s">
        <v>236</v>
      </c>
      <c r="AL43">
        <v>1</v>
      </c>
    </row>
    <row r="44" spans="3:38" x14ac:dyDescent="0.2">
      <c r="C44" t="s">
        <v>3</v>
      </c>
      <c r="D44" s="10" t="s">
        <v>148</v>
      </c>
      <c r="E44" t="s">
        <v>191</v>
      </c>
      <c r="F44" t="s">
        <v>99</v>
      </c>
      <c r="G44" t="s">
        <v>101</v>
      </c>
      <c r="H44" s="42">
        <v>120</v>
      </c>
      <c r="I44" s="42">
        <v>3</v>
      </c>
      <c r="J44" s="14" t="s">
        <v>193</v>
      </c>
      <c r="K44" t="s">
        <v>195</v>
      </c>
      <c r="L44" t="s">
        <v>56</v>
      </c>
      <c r="R44" t="s">
        <v>47</v>
      </c>
      <c r="U44" t="s">
        <v>198</v>
      </c>
      <c r="Z44" t="s">
        <v>38</v>
      </c>
      <c r="AC44" t="s">
        <v>35</v>
      </c>
      <c r="AE44" t="s">
        <v>236</v>
      </c>
      <c r="AL44">
        <v>1E-3</v>
      </c>
    </row>
    <row r="45" spans="3:38" x14ac:dyDescent="0.2">
      <c r="C45" t="s">
        <v>3</v>
      </c>
      <c r="D45" s="10" t="s">
        <v>199</v>
      </c>
      <c r="E45" t="s">
        <v>200</v>
      </c>
      <c r="F45" t="s">
        <v>203</v>
      </c>
      <c r="G45" t="s">
        <v>61</v>
      </c>
      <c r="J45" t="s">
        <v>204</v>
      </c>
      <c r="K45" t="s">
        <v>207</v>
      </c>
      <c r="L45" t="s">
        <v>56</v>
      </c>
      <c r="T45" t="s">
        <v>200</v>
      </c>
      <c r="U45" t="s">
        <v>210</v>
      </c>
      <c r="X45" t="s">
        <v>53</v>
      </c>
      <c r="AE45" t="s">
        <v>236</v>
      </c>
    </row>
    <row r="46" spans="3:38" x14ac:dyDescent="0.2">
      <c r="C46" t="s">
        <v>3</v>
      </c>
      <c r="D46" s="10" t="s">
        <v>199</v>
      </c>
      <c r="E46" t="s">
        <v>200</v>
      </c>
      <c r="F46" t="s">
        <v>203</v>
      </c>
      <c r="G46" t="s">
        <v>61</v>
      </c>
      <c r="J46" t="s">
        <v>205</v>
      </c>
      <c r="K46" t="s">
        <v>208</v>
      </c>
      <c r="L46" t="s">
        <v>56</v>
      </c>
      <c r="AE46" t="s">
        <v>236</v>
      </c>
    </row>
    <row r="47" spans="3:38" x14ac:dyDescent="0.2">
      <c r="C47" t="s">
        <v>3</v>
      </c>
      <c r="D47" s="10" t="s">
        <v>199</v>
      </c>
      <c r="E47" t="s">
        <v>200</v>
      </c>
      <c r="F47" t="s">
        <v>203</v>
      </c>
      <c r="G47" t="s">
        <v>61</v>
      </c>
      <c r="J47" t="s">
        <v>206</v>
      </c>
      <c r="K47" t="s">
        <v>209</v>
      </c>
      <c r="L47" t="s">
        <v>56</v>
      </c>
      <c r="AE47" t="s">
        <v>236</v>
      </c>
    </row>
    <row r="48" spans="3:38" x14ac:dyDescent="0.2">
      <c r="C48" t="s">
        <v>3</v>
      </c>
      <c r="D48" s="10" t="s">
        <v>211</v>
      </c>
      <c r="E48" t="s">
        <v>212</v>
      </c>
      <c r="F48" t="s">
        <v>99</v>
      </c>
      <c r="G48" t="s">
        <v>101</v>
      </c>
      <c r="J48" t="s">
        <v>214</v>
      </c>
      <c r="L48" t="s">
        <v>56</v>
      </c>
      <c r="N48">
        <v>2021</v>
      </c>
      <c r="T48" t="s">
        <v>212</v>
      </c>
      <c r="U48" s="9" t="s">
        <v>332</v>
      </c>
      <c r="X48" t="s">
        <v>213</v>
      </c>
      <c r="Y48" t="s">
        <v>64</v>
      </c>
      <c r="AE48" t="s">
        <v>236</v>
      </c>
      <c r="AK48">
        <v>100</v>
      </c>
    </row>
    <row r="49" spans="3:36" x14ac:dyDescent="0.2">
      <c r="C49" t="s">
        <v>3</v>
      </c>
      <c r="D49" s="10" t="s">
        <v>211</v>
      </c>
      <c r="E49" t="s">
        <v>215</v>
      </c>
      <c r="F49" t="s">
        <v>44</v>
      </c>
      <c r="J49" t="s">
        <v>216</v>
      </c>
      <c r="K49" t="s">
        <v>29</v>
      </c>
      <c r="L49" t="s">
        <v>11</v>
      </c>
      <c r="P49">
        <v>1</v>
      </c>
      <c r="Q49" t="s">
        <v>47</v>
      </c>
      <c r="T49" t="s">
        <v>217</v>
      </c>
      <c r="U49" s="9" t="s">
        <v>16</v>
      </c>
      <c r="V49" t="s">
        <v>136</v>
      </c>
      <c r="X49" t="s">
        <v>53</v>
      </c>
      <c r="Z49" t="s">
        <v>37</v>
      </c>
      <c r="AC49" t="s">
        <v>34</v>
      </c>
      <c r="AE49" t="s">
        <v>243</v>
      </c>
      <c r="AF49" s="15" t="s">
        <v>221</v>
      </c>
      <c r="AG49" s="15" t="s">
        <v>222</v>
      </c>
      <c r="AH49" s="15" t="s">
        <v>225</v>
      </c>
      <c r="AI49" s="15" t="s">
        <v>226</v>
      </c>
      <c r="AJ49">
        <v>2</v>
      </c>
    </row>
    <row r="50" spans="3:36" x14ac:dyDescent="0.2">
      <c r="C50" t="s">
        <v>3</v>
      </c>
      <c r="D50" s="10" t="s">
        <v>211</v>
      </c>
      <c r="E50" t="s">
        <v>215</v>
      </c>
      <c r="F50" t="s">
        <v>23</v>
      </c>
      <c r="J50" t="s">
        <v>216</v>
      </c>
      <c r="K50" t="s">
        <v>30</v>
      </c>
      <c r="L50" t="s">
        <v>11</v>
      </c>
      <c r="P50">
        <v>1</v>
      </c>
      <c r="Q50" t="s">
        <v>47</v>
      </c>
      <c r="Z50" t="s">
        <v>37</v>
      </c>
      <c r="AC50" t="s">
        <v>34</v>
      </c>
    </row>
    <row r="51" spans="3:36" x14ac:dyDescent="0.2">
      <c r="C51" t="s">
        <v>3</v>
      </c>
      <c r="D51" s="10" t="s">
        <v>211</v>
      </c>
      <c r="E51" t="s">
        <v>215</v>
      </c>
      <c r="F51" t="s">
        <v>44</v>
      </c>
      <c r="J51" t="s">
        <v>216</v>
      </c>
      <c r="K51" t="s">
        <v>219</v>
      </c>
      <c r="L51" t="s">
        <v>11</v>
      </c>
      <c r="N51">
        <v>2019</v>
      </c>
      <c r="Z51" t="s">
        <v>38</v>
      </c>
      <c r="AA51">
        <v>1</v>
      </c>
      <c r="AC51" t="s">
        <v>35</v>
      </c>
    </row>
    <row r="52" spans="3:36" x14ac:dyDescent="0.2">
      <c r="C52" t="s">
        <v>3</v>
      </c>
      <c r="D52" s="10" t="s">
        <v>211</v>
      </c>
      <c r="E52" t="s">
        <v>215</v>
      </c>
      <c r="F52" t="s">
        <v>23</v>
      </c>
      <c r="J52" t="s">
        <v>216</v>
      </c>
      <c r="K52" t="s">
        <v>220</v>
      </c>
      <c r="L52" t="s">
        <v>11</v>
      </c>
      <c r="N52">
        <v>2019</v>
      </c>
      <c r="Z52" t="s">
        <v>38</v>
      </c>
      <c r="AA52">
        <v>3</v>
      </c>
      <c r="AC52" t="s">
        <v>35</v>
      </c>
    </row>
    <row r="53" spans="3:36" x14ac:dyDescent="0.2">
      <c r="C53" t="s">
        <v>3</v>
      </c>
      <c r="D53" s="10" t="s">
        <v>211</v>
      </c>
      <c r="E53" t="s">
        <v>229</v>
      </c>
      <c r="F53" t="s">
        <v>233</v>
      </c>
      <c r="G53" t="s">
        <v>61</v>
      </c>
      <c r="J53" t="s">
        <v>234</v>
      </c>
      <c r="L53" t="s">
        <v>56</v>
      </c>
      <c r="P53">
        <v>1</v>
      </c>
      <c r="Q53" t="s">
        <v>47</v>
      </c>
      <c r="R53" t="s">
        <v>47</v>
      </c>
      <c r="T53" t="s">
        <v>227</v>
      </c>
      <c r="U53" t="s">
        <v>228</v>
      </c>
      <c r="X53" t="s">
        <v>53</v>
      </c>
      <c r="Y53" t="s">
        <v>64</v>
      </c>
      <c r="AE53" t="s">
        <v>238</v>
      </c>
    </row>
    <row r="54" spans="3:36" x14ac:dyDescent="0.2">
      <c r="C54" t="s">
        <v>3</v>
      </c>
      <c r="D54" s="10" t="s">
        <v>211</v>
      </c>
      <c r="E54" t="s">
        <v>239</v>
      </c>
      <c r="F54" t="s">
        <v>44</v>
      </c>
      <c r="J54" t="s">
        <v>240</v>
      </c>
      <c r="K54" t="s">
        <v>29</v>
      </c>
      <c r="L54" t="s">
        <v>11</v>
      </c>
      <c r="P54">
        <v>1</v>
      </c>
      <c r="Q54" t="s">
        <v>47</v>
      </c>
      <c r="T54" t="s">
        <v>241</v>
      </c>
      <c r="U54" s="9" t="s">
        <v>16</v>
      </c>
      <c r="V54" t="s">
        <v>136</v>
      </c>
      <c r="X54" t="s">
        <v>53</v>
      </c>
      <c r="Z54" t="s">
        <v>37</v>
      </c>
      <c r="AC54" t="s">
        <v>34</v>
      </c>
      <c r="AE54" t="s">
        <v>243</v>
      </c>
      <c r="AF54" s="15" t="s">
        <v>221</v>
      </c>
      <c r="AG54" s="15" t="s">
        <v>222</v>
      </c>
      <c r="AH54" s="15" t="s">
        <v>225</v>
      </c>
      <c r="AI54" s="15" t="s">
        <v>226</v>
      </c>
      <c r="AJ54">
        <v>2</v>
      </c>
    </row>
    <row r="55" spans="3:36" x14ac:dyDescent="0.2">
      <c r="C55" t="s">
        <v>3</v>
      </c>
      <c r="D55" s="10" t="s">
        <v>211</v>
      </c>
      <c r="E55" t="s">
        <v>239</v>
      </c>
      <c r="F55" t="s">
        <v>23</v>
      </c>
      <c r="J55" t="s">
        <v>240</v>
      </c>
      <c r="K55" t="s">
        <v>30</v>
      </c>
      <c r="L55" t="s">
        <v>11</v>
      </c>
      <c r="P55">
        <v>1</v>
      </c>
      <c r="Q55" t="s">
        <v>47</v>
      </c>
      <c r="Z55" t="s">
        <v>37</v>
      </c>
      <c r="AC55" t="s">
        <v>34</v>
      </c>
    </row>
    <row r="56" spans="3:36" x14ac:dyDescent="0.2">
      <c r="C56" t="s">
        <v>3</v>
      </c>
      <c r="D56" s="10" t="s">
        <v>211</v>
      </c>
      <c r="E56" t="s">
        <v>239</v>
      </c>
      <c r="F56" t="s">
        <v>44</v>
      </c>
      <c r="J56" t="s">
        <v>240</v>
      </c>
      <c r="K56" t="s">
        <v>31</v>
      </c>
      <c r="L56" t="s">
        <v>11</v>
      </c>
      <c r="N56">
        <v>2019</v>
      </c>
      <c r="Z56" t="s">
        <v>38</v>
      </c>
      <c r="AA56">
        <v>1</v>
      </c>
      <c r="AC56" t="s">
        <v>35</v>
      </c>
    </row>
    <row r="57" spans="3:36" x14ac:dyDescent="0.2">
      <c r="C57" t="s">
        <v>3</v>
      </c>
      <c r="D57" s="10" t="s">
        <v>211</v>
      </c>
      <c r="E57" t="s">
        <v>239</v>
      </c>
      <c r="F57" t="s">
        <v>23</v>
      </c>
      <c r="J57" t="s">
        <v>240</v>
      </c>
      <c r="K57" t="s">
        <v>32</v>
      </c>
      <c r="L57" t="s">
        <v>11</v>
      </c>
      <c r="N57">
        <v>2019</v>
      </c>
      <c r="Z57" t="s">
        <v>38</v>
      </c>
      <c r="AA57">
        <v>3</v>
      </c>
      <c r="AC57" t="s">
        <v>35</v>
      </c>
    </row>
    <row r="58" spans="3:36" x14ac:dyDescent="0.2">
      <c r="C58" t="s">
        <v>3</v>
      </c>
      <c r="D58" s="10" t="s">
        <v>211</v>
      </c>
      <c r="E58" t="s">
        <v>244</v>
      </c>
      <c r="F58" t="s">
        <v>233</v>
      </c>
      <c r="G58" t="s">
        <v>61</v>
      </c>
      <c r="J58" t="s">
        <v>246</v>
      </c>
      <c r="L58" t="s">
        <v>56</v>
      </c>
      <c r="P58">
        <v>1</v>
      </c>
      <c r="Q58" t="s">
        <v>47</v>
      </c>
      <c r="R58" t="s">
        <v>47</v>
      </c>
      <c r="T58" s="6" t="s">
        <v>245</v>
      </c>
      <c r="U58" s="16" t="s">
        <v>228</v>
      </c>
      <c r="X58" t="s">
        <v>53</v>
      </c>
      <c r="Y58" t="s">
        <v>64</v>
      </c>
      <c r="AE58" t="s">
        <v>238</v>
      </c>
    </row>
    <row r="59" spans="3:36" x14ac:dyDescent="0.2">
      <c r="C59" t="s">
        <v>3</v>
      </c>
      <c r="D59" s="10" t="s">
        <v>247</v>
      </c>
      <c r="E59" t="s">
        <v>248</v>
      </c>
      <c r="F59" t="s">
        <v>255</v>
      </c>
      <c r="G59" s="6" t="s">
        <v>61</v>
      </c>
      <c r="H59" s="6"/>
      <c r="I59" s="6"/>
      <c r="J59" t="s">
        <v>257</v>
      </c>
      <c r="K59" t="s">
        <v>259</v>
      </c>
      <c r="L59" t="s">
        <v>56</v>
      </c>
      <c r="P59">
        <v>12</v>
      </c>
      <c r="Q59" t="s">
        <v>47</v>
      </c>
      <c r="T59" t="s">
        <v>261</v>
      </c>
      <c r="U59" s="17" t="s">
        <v>262</v>
      </c>
      <c r="V59" t="s">
        <v>263</v>
      </c>
      <c r="X59" t="s">
        <v>53</v>
      </c>
      <c r="Z59" t="s">
        <v>37</v>
      </c>
      <c r="AC59" t="s">
        <v>34</v>
      </c>
      <c r="AE59" t="s">
        <v>238</v>
      </c>
      <c r="AJ59">
        <v>2</v>
      </c>
    </row>
    <row r="60" spans="3:36" x14ac:dyDescent="0.2">
      <c r="C60" t="s">
        <v>3</v>
      </c>
      <c r="D60" s="10" t="s">
        <v>247</v>
      </c>
      <c r="E60" t="s">
        <v>248</v>
      </c>
      <c r="F60" t="s">
        <v>256</v>
      </c>
      <c r="G60" s="6" t="s">
        <v>61</v>
      </c>
      <c r="H60" s="6"/>
      <c r="I60" s="6"/>
      <c r="J60" t="s">
        <v>258</v>
      </c>
      <c r="K60" t="s">
        <v>260</v>
      </c>
      <c r="L60" t="s">
        <v>56</v>
      </c>
      <c r="P60">
        <v>12</v>
      </c>
      <c r="Q60" t="s">
        <v>47</v>
      </c>
      <c r="Z60" t="s">
        <v>37</v>
      </c>
      <c r="AC60" t="s">
        <v>34</v>
      </c>
    </row>
    <row r="61" spans="3:36" x14ac:dyDescent="0.2">
      <c r="C61" t="s">
        <v>3</v>
      </c>
      <c r="D61" s="10" t="s">
        <v>247</v>
      </c>
      <c r="E61" t="s">
        <v>248</v>
      </c>
      <c r="F61" t="s">
        <v>255</v>
      </c>
      <c r="G61" s="6" t="s">
        <v>61</v>
      </c>
      <c r="H61" s="6"/>
      <c r="I61" s="6"/>
      <c r="J61" t="s">
        <v>257</v>
      </c>
      <c r="K61" t="s">
        <v>264</v>
      </c>
      <c r="L61" t="s">
        <v>56</v>
      </c>
      <c r="N61">
        <v>2015</v>
      </c>
      <c r="Z61" t="s">
        <v>38</v>
      </c>
      <c r="AA61">
        <v>1</v>
      </c>
      <c r="AC61" t="s">
        <v>35</v>
      </c>
    </row>
    <row r="62" spans="3:36" x14ac:dyDescent="0.2">
      <c r="C62" t="s">
        <v>3</v>
      </c>
      <c r="D62" s="10" t="s">
        <v>247</v>
      </c>
      <c r="E62" t="s">
        <v>248</v>
      </c>
      <c r="F62" t="s">
        <v>256</v>
      </c>
      <c r="G62" s="6" t="s">
        <v>61</v>
      </c>
      <c r="H62" s="6"/>
      <c r="I62" s="6"/>
      <c r="J62" t="s">
        <v>258</v>
      </c>
      <c r="K62" t="s">
        <v>265</v>
      </c>
      <c r="L62" t="s">
        <v>56</v>
      </c>
      <c r="N62">
        <v>2015</v>
      </c>
      <c r="Z62" t="s">
        <v>38</v>
      </c>
      <c r="AA62">
        <v>3</v>
      </c>
      <c r="AC62" t="s">
        <v>35</v>
      </c>
    </row>
    <row r="63" spans="3:36" x14ac:dyDescent="0.2">
      <c r="C63" t="s">
        <v>3</v>
      </c>
      <c r="D63" s="10" t="s">
        <v>247</v>
      </c>
      <c r="E63" t="s">
        <v>267</v>
      </c>
      <c r="F63" t="s">
        <v>255</v>
      </c>
      <c r="G63" s="6" t="s">
        <v>61</v>
      </c>
      <c r="H63" s="6"/>
      <c r="I63" s="6"/>
      <c r="J63" s="6" t="s">
        <v>268</v>
      </c>
      <c r="K63" s="12" t="s">
        <v>270</v>
      </c>
      <c r="L63" t="s">
        <v>56</v>
      </c>
      <c r="T63" t="s">
        <v>272</v>
      </c>
      <c r="U63" s="17" t="s">
        <v>273</v>
      </c>
      <c r="X63" t="s">
        <v>53</v>
      </c>
      <c r="AE63" t="s">
        <v>238</v>
      </c>
    </row>
    <row r="64" spans="3:36" x14ac:dyDescent="0.2">
      <c r="C64" t="s">
        <v>3</v>
      </c>
      <c r="D64" s="10" t="s">
        <v>247</v>
      </c>
      <c r="E64" t="s">
        <v>267</v>
      </c>
      <c r="F64" t="s">
        <v>255</v>
      </c>
      <c r="G64" s="6" t="s">
        <v>61</v>
      </c>
      <c r="H64" s="6"/>
      <c r="I64" s="6"/>
      <c r="J64" s="16" t="s">
        <v>269</v>
      </c>
      <c r="K64" s="12" t="s">
        <v>271</v>
      </c>
      <c r="L64" t="s">
        <v>56</v>
      </c>
    </row>
    <row r="65" spans="2:37" x14ac:dyDescent="0.2">
      <c r="B65" s="12" t="s">
        <v>294</v>
      </c>
      <c r="C65" t="s">
        <v>3</v>
      </c>
      <c r="D65" s="10" t="s">
        <v>247</v>
      </c>
      <c r="E65" t="s">
        <v>314</v>
      </c>
      <c r="F65" t="s">
        <v>255</v>
      </c>
      <c r="G65" s="6" t="s">
        <v>61</v>
      </c>
      <c r="H65" s="6"/>
      <c r="I65" s="6"/>
      <c r="J65" t="s">
        <v>277</v>
      </c>
      <c r="K65" t="s">
        <v>282</v>
      </c>
      <c r="L65" t="s">
        <v>56</v>
      </c>
      <c r="T65" t="s">
        <v>274</v>
      </c>
      <c r="U65" s="9" t="s">
        <v>275</v>
      </c>
      <c r="V65" s="9" t="s">
        <v>276</v>
      </c>
      <c r="X65" t="s">
        <v>53</v>
      </c>
      <c r="AB65">
        <v>1</v>
      </c>
      <c r="AC65" t="s">
        <v>34</v>
      </c>
      <c r="AE65" t="s">
        <v>238</v>
      </c>
    </row>
    <row r="66" spans="2:37" x14ac:dyDescent="0.2">
      <c r="C66" t="s">
        <v>3</v>
      </c>
      <c r="D66" s="10" t="s">
        <v>247</v>
      </c>
      <c r="E66" t="s">
        <v>314</v>
      </c>
      <c r="F66" t="s">
        <v>255</v>
      </c>
      <c r="G66" s="6" t="s">
        <v>61</v>
      </c>
      <c r="H66" s="6"/>
      <c r="I66" s="6"/>
      <c r="J66" t="s">
        <v>279</v>
      </c>
      <c r="K66" t="s">
        <v>283</v>
      </c>
      <c r="L66" t="s">
        <v>56</v>
      </c>
      <c r="AB66">
        <v>1</v>
      </c>
      <c r="AC66" t="s">
        <v>34</v>
      </c>
    </row>
    <row r="67" spans="2:37" x14ac:dyDescent="0.2">
      <c r="C67" t="s">
        <v>3</v>
      </c>
      <c r="D67" s="10" t="s">
        <v>247</v>
      </c>
      <c r="E67" t="s">
        <v>314</v>
      </c>
      <c r="F67" t="s">
        <v>255</v>
      </c>
      <c r="G67" s="6" t="s">
        <v>61</v>
      </c>
      <c r="H67" s="6"/>
      <c r="I67" s="6"/>
      <c r="J67" t="s">
        <v>280</v>
      </c>
      <c r="K67" t="s">
        <v>189</v>
      </c>
      <c r="L67" t="s">
        <v>56</v>
      </c>
      <c r="AB67">
        <v>1</v>
      </c>
      <c r="AC67" t="s">
        <v>34</v>
      </c>
    </row>
    <row r="68" spans="2:37" x14ac:dyDescent="0.2">
      <c r="C68" t="s">
        <v>3</v>
      </c>
      <c r="D68" s="10" t="s">
        <v>247</v>
      </c>
      <c r="E68" t="s">
        <v>314</v>
      </c>
      <c r="F68" t="s">
        <v>255</v>
      </c>
      <c r="G68" s="6" t="s">
        <v>61</v>
      </c>
      <c r="H68" s="6"/>
      <c r="I68" s="6"/>
      <c r="J68" t="s">
        <v>281</v>
      </c>
      <c r="K68" t="s">
        <v>284</v>
      </c>
      <c r="L68" t="s">
        <v>56</v>
      </c>
      <c r="AB68">
        <v>1</v>
      </c>
      <c r="AC68" t="s">
        <v>34</v>
      </c>
    </row>
    <row r="69" spans="2:37" x14ac:dyDescent="0.2">
      <c r="C69" s="18" t="s">
        <v>3</v>
      </c>
      <c r="D69" s="19" t="s">
        <v>247</v>
      </c>
      <c r="E69" s="18" t="s">
        <v>314</v>
      </c>
      <c r="F69" s="18" t="s">
        <v>255</v>
      </c>
      <c r="G69" s="20" t="s">
        <v>61</v>
      </c>
      <c r="H69" s="20"/>
      <c r="I69" s="20"/>
      <c r="J69" s="18" t="s">
        <v>278</v>
      </c>
      <c r="K69" s="12" t="s">
        <v>285</v>
      </c>
      <c r="L69" t="s">
        <v>56</v>
      </c>
      <c r="AB69">
        <v>0.7</v>
      </c>
      <c r="AC69" t="s">
        <v>35</v>
      </c>
    </row>
    <row r="70" spans="2:37" x14ac:dyDescent="0.2">
      <c r="B70" s="12" t="s">
        <v>294</v>
      </c>
      <c r="C70" t="s">
        <v>3</v>
      </c>
      <c r="D70" s="10" t="s">
        <v>247</v>
      </c>
      <c r="E70" t="s">
        <v>286</v>
      </c>
      <c r="F70" t="s">
        <v>255</v>
      </c>
      <c r="G70" s="6" t="s">
        <v>61</v>
      </c>
      <c r="H70" s="6"/>
      <c r="I70" s="6"/>
      <c r="J70" t="s">
        <v>288</v>
      </c>
      <c r="K70" t="s">
        <v>282</v>
      </c>
      <c r="L70" t="s">
        <v>56</v>
      </c>
      <c r="N70">
        <v>2015</v>
      </c>
      <c r="T70" t="s">
        <v>286</v>
      </c>
      <c r="U70" s="9" t="s">
        <v>263</v>
      </c>
      <c r="V70" s="9" t="s">
        <v>297</v>
      </c>
      <c r="X70" t="s">
        <v>53</v>
      </c>
      <c r="AC70" t="s">
        <v>34</v>
      </c>
      <c r="AE70" t="s">
        <v>238</v>
      </c>
      <c r="AF70" t="s">
        <v>295</v>
      </c>
      <c r="AG70" t="s">
        <v>296</v>
      </c>
      <c r="AK70">
        <v>100</v>
      </c>
    </row>
    <row r="71" spans="2:37" x14ac:dyDescent="0.2">
      <c r="C71" t="s">
        <v>3</v>
      </c>
      <c r="D71" s="10" t="s">
        <v>247</v>
      </c>
      <c r="E71" t="s">
        <v>286</v>
      </c>
      <c r="F71" t="s">
        <v>255</v>
      </c>
      <c r="G71" s="6" t="s">
        <v>61</v>
      </c>
      <c r="H71" s="6"/>
      <c r="I71" s="6"/>
      <c r="J71" t="s">
        <v>290</v>
      </c>
      <c r="K71" t="s">
        <v>283</v>
      </c>
      <c r="L71" t="s">
        <v>56</v>
      </c>
      <c r="N71">
        <v>2015</v>
      </c>
      <c r="AC71" t="s">
        <v>34</v>
      </c>
    </row>
    <row r="72" spans="2:37" x14ac:dyDescent="0.2">
      <c r="C72" t="s">
        <v>3</v>
      </c>
      <c r="D72" s="10" t="s">
        <v>247</v>
      </c>
      <c r="E72" t="s">
        <v>286</v>
      </c>
      <c r="F72" t="s">
        <v>255</v>
      </c>
      <c r="G72" s="6" t="s">
        <v>61</v>
      </c>
      <c r="H72" s="6"/>
      <c r="I72" s="6"/>
      <c r="J72" t="s">
        <v>291</v>
      </c>
      <c r="K72" t="s">
        <v>189</v>
      </c>
      <c r="L72" t="s">
        <v>56</v>
      </c>
      <c r="N72">
        <v>2015</v>
      </c>
      <c r="AC72" t="s">
        <v>34</v>
      </c>
    </row>
    <row r="73" spans="2:37" x14ac:dyDescent="0.2">
      <c r="C73" t="s">
        <v>3</v>
      </c>
      <c r="D73" s="10" t="s">
        <v>247</v>
      </c>
      <c r="E73" t="s">
        <v>286</v>
      </c>
      <c r="F73" t="s">
        <v>255</v>
      </c>
      <c r="G73" s="6" t="s">
        <v>61</v>
      </c>
      <c r="H73" s="6"/>
      <c r="I73" s="6"/>
      <c r="J73" t="s">
        <v>292</v>
      </c>
      <c r="K73" t="s">
        <v>284</v>
      </c>
      <c r="L73" t="s">
        <v>56</v>
      </c>
      <c r="N73">
        <v>2015</v>
      </c>
      <c r="AC73" t="s">
        <v>34</v>
      </c>
    </row>
    <row r="74" spans="2:37" x14ac:dyDescent="0.2">
      <c r="C74" s="18" t="s">
        <v>3</v>
      </c>
      <c r="D74" s="19" t="s">
        <v>247</v>
      </c>
      <c r="E74" s="18" t="s">
        <v>286</v>
      </c>
      <c r="F74" s="18" t="s">
        <v>255</v>
      </c>
      <c r="G74" s="20" t="s">
        <v>61</v>
      </c>
      <c r="H74" s="20"/>
      <c r="I74" s="20"/>
      <c r="J74" t="s">
        <v>289</v>
      </c>
      <c r="K74" s="12" t="s">
        <v>285</v>
      </c>
      <c r="L74" t="s">
        <v>56</v>
      </c>
      <c r="N74">
        <v>2015</v>
      </c>
      <c r="AC74" t="s">
        <v>35</v>
      </c>
    </row>
    <row r="75" spans="2:37" x14ac:dyDescent="0.2">
      <c r="B75" s="12" t="s">
        <v>328</v>
      </c>
      <c r="C75" t="s">
        <v>3</v>
      </c>
      <c r="D75" s="10" t="s">
        <v>247</v>
      </c>
      <c r="E75" t="s">
        <v>318</v>
      </c>
      <c r="F75" t="s">
        <v>322</v>
      </c>
      <c r="G75" s="6" t="s">
        <v>61</v>
      </c>
      <c r="H75" s="6"/>
      <c r="I75" s="6"/>
      <c r="J75" t="s">
        <v>323</v>
      </c>
      <c r="K75" t="s">
        <v>324</v>
      </c>
      <c r="L75" t="s">
        <v>56</v>
      </c>
      <c r="P75">
        <v>12</v>
      </c>
      <c r="Q75" t="s">
        <v>47</v>
      </c>
      <c r="T75" t="s">
        <v>318</v>
      </c>
      <c r="U75" t="s">
        <v>326</v>
      </c>
      <c r="V75" s="9" t="s">
        <v>327</v>
      </c>
      <c r="X75" t="s">
        <v>53</v>
      </c>
      <c r="Z75" t="s">
        <v>37</v>
      </c>
      <c r="AC75" t="s">
        <v>34</v>
      </c>
      <c r="AE75" t="s">
        <v>236</v>
      </c>
    </row>
    <row r="76" spans="2:37" x14ac:dyDescent="0.2">
      <c r="C76" t="s">
        <v>3</v>
      </c>
      <c r="D76" s="10" t="s">
        <v>247</v>
      </c>
      <c r="E76" t="s">
        <v>318</v>
      </c>
      <c r="F76" t="s">
        <v>322</v>
      </c>
      <c r="G76" s="6" t="s">
        <v>61</v>
      </c>
      <c r="H76" s="6"/>
      <c r="I76" s="6"/>
      <c r="J76" t="s">
        <v>323</v>
      </c>
      <c r="K76" t="s">
        <v>325</v>
      </c>
      <c r="L76" t="s">
        <v>56</v>
      </c>
      <c r="N76">
        <v>2020</v>
      </c>
      <c r="Z76" t="s">
        <v>38</v>
      </c>
      <c r="AC76" t="s">
        <v>35</v>
      </c>
      <c r="AE76" t="s">
        <v>236</v>
      </c>
    </row>
    <row r="77" spans="2:37" x14ac:dyDescent="0.2">
      <c r="C77" t="s">
        <v>3</v>
      </c>
      <c r="D77" t="s">
        <v>329</v>
      </c>
      <c r="E77" t="s">
        <v>330</v>
      </c>
      <c r="F77" t="s">
        <v>337</v>
      </c>
      <c r="G77" s="6" t="s">
        <v>61</v>
      </c>
      <c r="H77" s="6"/>
      <c r="I77" s="6"/>
      <c r="J77" t="s">
        <v>338</v>
      </c>
      <c r="L77" t="s">
        <v>56</v>
      </c>
      <c r="N77">
        <v>2021</v>
      </c>
      <c r="T77" t="s">
        <v>331</v>
      </c>
      <c r="U77" t="s">
        <v>332</v>
      </c>
      <c r="X77" t="s">
        <v>53</v>
      </c>
      <c r="Y77" s="10" t="s">
        <v>64</v>
      </c>
      <c r="AE77" t="s">
        <v>238</v>
      </c>
      <c r="AK77">
        <v>100</v>
      </c>
    </row>
    <row r="78" spans="2:37" x14ac:dyDescent="0.2">
      <c r="C78" t="s">
        <v>3</v>
      </c>
      <c r="D78" t="s">
        <v>329</v>
      </c>
      <c r="E78" t="s">
        <v>339</v>
      </c>
      <c r="F78" t="s">
        <v>99</v>
      </c>
      <c r="G78" t="s">
        <v>343</v>
      </c>
      <c r="J78" t="s">
        <v>342</v>
      </c>
      <c r="L78" t="s">
        <v>56</v>
      </c>
      <c r="T78" s="10" t="s">
        <v>339</v>
      </c>
      <c r="U78" t="s">
        <v>340</v>
      </c>
      <c r="X78" t="s">
        <v>341</v>
      </c>
      <c r="Y78" s="10" t="s">
        <v>64</v>
      </c>
      <c r="AE78" t="s">
        <v>236</v>
      </c>
    </row>
    <row r="79" spans="2:37" x14ac:dyDescent="0.2">
      <c r="C79" t="s">
        <v>3</v>
      </c>
      <c r="D79" t="s">
        <v>329</v>
      </c>
      <c r="E79" t="s">
        <v>344</v>
      </c>
      <c r="F79" t="s">
        <v>337</v>
      </c>
      <c r="G79" t="s">
        <v>61</v>
      </c>
      <c r="J79" t="s">
        <v>346</v>
      </c>
      <c r="K79" t="s">
        <v>347</v>
      </c>
      <c r="L79" t="s">
        <v>56</v>
      </c>
      <c r="N79">
        <v>2021</v>
      </c>
      <c r="T79" t="s">
        <v>344</v>
      </c>
      <c r="U79" t="s">
        <v>332</v>
      </c>
      <c r="X79" t="s">
        <v>345</v>
      </c>
    </row>
    <row r="80" spans="2:37" x14ac:dyDescent="0.2">
      <c r="C80" t="s">
        <v>3</v>
      </c>
      <c r="D80" t="s">
        <v>329</v>
      </c>
      <c r="E80" t="s">
        <v>344</v>
      </c>
      <c r="F80" t="s">
        <v>337</v>
      </c>
      <c r="G80" t="s">
        <v>61</v>
      </c>
      <c r="J80" t="s">
        <v>348</v>
      </c>
      <c r="K80" t="s">
        <v>349</v>
      </c>
      <c r="L80" t="s">
        <v>56</v>
      </c>
      <c r="N80" s="9"/>
    </row>
    <row r="81" spans="3:24" x14ac:dyDescent="0.2">
      <c r="C81" t="s">
        <v>3</v>
      </c>
      <c r="D81" t="s">
        <v>329</v>
      </c>
      <c r="E81" t="s">
        <v>344</v>
      </c>
      <c r="F81" t="s">
        <v>337</v>
      </c>
      <c r="G81" t="s">
        <v>61</v>
      </c>
      <c r="J81" t="s">
        <v>350</v>
      </c>
      <c r="K81" t="s">
        <v>351</v>
      </c>
      <c r="L81" t="s">
        <v>56</v>
      </c>
      <c r="N81" s="9"/>
    </row>
    <row r="82" spans="3:24" x14ac:dyDescent="0.2">
      <c r="C82" t="s">
        <v>3</v>
      </c>
      <c r="D82" t="s">
        <v>329</v>
      </c>
      <c r="E82" t="s">
        <v>352</v>
      </c>
      <c r="F82" t="s">
        <v>337</v>
      </c>
      <c r="G82" t="s">
        <v>61</v>
      </c>
      <c r="J82" t="s">
        <v>353</v>
      </c>
      <c r="K82" t="s">
        <v>354</v>
      </c>
      <c r="L82" t="s">
        <v>56</v>
      </c>
      <c r="N82">
        <v>2021</v>
      </c>
      <c r="T82" t="s">
        <v>352</v>
      </c>
      <c r="U82" t="s">
        <v>332</v>
      </c>
      <c r="X82" t="s">
        <v>345</v>
      </c>
    </row>
    <row r="83" spans="3:24" x14ac:dyDescent="0.2">
      <c r="C83" t="s">
        <v>3</v>
      </c>
      <c r="D83" t="s">
        <v>329</v>
      </c>
      <c r="E83" t="s">
        <v>352</v>
      </c>
      <c r="F83" t="s">
        <v>337</v>
      </c>
      <c r="G83" t="s">
        <v>61</v>
      </c>
      <c r="J83" t="s">
        <v>355</v>
      </c>
      <c r="K83" t="s">
        <v>347</v>
      </c>
      <c r="L83" t="s">
        <v>56</v>
      </c>
      <c r="N83" s="9"/>
    </row>
    <row r="84" spans="3:24" x14ac:dyDescent="0.2">
      <c r="C84" t="s">
        <v>3</v>
      </c>
      <c r="D84" t="s">
        <v>329</v>
      </c>
      <c r="E84" t="s">
        <v>352</v>
      </c>
      <c r="F84" t="s">
        <v>337</v>
      </c>
      <c r="G84" t="s">
        <v>61</v>
      </c>
      <c r="J84" t="s">
        <v>356</v>
      </c>
      <c r="K84" t="s">
        <v>349</v>
      </c>
      <c r="L84" t="s">
        <v>56</v>
      </c>
      <c r="N84" s="9"/>
    </row>
    <row r="85" spans="3:24" x14ac:dyDescent="0.2">
      <c r="C85" t="s">
        <v>3</v>
      </c>
      <c r="D85" t="s">
        <v>329</v>
      </c>
      <c r="E85" t="s">
        <v>352</v>
      </c>
      <c r="F85" t="s">
        <v>337</v>
      </c>
      <c r="G85" t="s">
        <v>61</v>
      </c>
      <c r="J85" t="s">
        <v>357</v>
      </c>
      <c r="K85" t="s">
        <v>351</v>
      </c>
      <c r="L85" t="s">
        <v>56</v>
      </c>
      <c r="N85" s="9"/>
    </row>
    <row r="86" spans="3:24" x14ac:dyDescent="0.2">
      <c r="C86" t="s">
        <v>3</v>
      </c>
      <c r="D86" t="s">
        <v>329</v>
      </c>
      <c r="E86" t="s">
        <v>358</v>
      </c>
      <c r="F86" t="s">
        <v>337</v>
      </c>
      <c r="G86" t="s">
        <v>61</v>
      </c>
      <c r="J86" t="s">
        <v>359</v>
      </c>
      <c r="K86" t="s">
        <v>354</v>
      </c>
      <c r="L86" t="s">
        <v>56</v>
      </c>
      <c r="N86">
        <v>2021</v>
      </c>
      <c r="T86" t="s">
        <v>358</v>
      </c>
      <c r="U86" t="s">
        <v>332</v>
      </c>
      <c r="X86" t="s">
        <v>345</v>
      </c>
    </row>
    <row r="87" spans="3:24" x14ac:dyDescent="0.2">
      <c r="C87" t="s">
        <v>3</v>
      </c>
      <c r="D87" t="s">
        <v>329</v>
      </c>
      <c r="E87" t="s">
        <v>358</v>
      </c>
      <c r="F87" t="s">
        <v>337</v>
      </c>
      <c r="G87" t="s">
        <v>61</v>
      </c>
      <c r="J87" t="s">
        <v>360</v>
      </c>
      <c r="K87" t="s">
        <v>347</v>
      </c>
      <c r="L87" t="s">
        <v>56</v>
      </c>
      <c r="N87" s="9"/>
    </row>
    <row r="88" spans="3:24" x14ac:dyDescent="0.2">
      <c r="C88" t="s">
        <v>3</v>
      </c>
      <c r="D88" t="s">
        <v>329</v>
      </c>
      <c r="E88" t="s">
        <v>358</v>
      </c>
      <c r="F88" t="s">
        <v>337</v>
      </c>
      <c r="G88" t="s">
        <v>61</v>
      </c>
      <c r="J88" t="s">
        <v>361</v>
      </c>
      <c r="K88" t="s">
        <v>349</v>
      </c>
      <c r="L88" t="s">
        <v>56</v>
      </c>
      <c r="N88" s="9"/>
    </row>
    <row r="89" spans="3:24" x14ac:dyDescent="0.2">
      <c r="C89" t="s">
        <v>3</v>
      </c>
      <c r="D89" t="s">
        <v>329</v>
      </c>
      <c r="E89" t="s">
        <v>358</v>
      </c>
      <c r="F89" t="s">
        <v>337</v>
      </c>
      <c r="G89" t="s">
        <v>61</v>
      </c>
      <c r="J89" t="s">
        <v>362</v>
      </c>
      <c r="K89" t="s">
        <v>351</v>
      </c>
      <c r="L89" t="s">
        <v>56</v>
      </c>
      <c r="N89" s="9"/>
    </row>
    <row r="90" spans="3:24" x14ac:dyDescent="0.2">
      <c r="C90" t="s">
        <v>3</v>
      </c>
      <c r="D90" t="s">
        <v>329</v>
      </c>
      <c r="E90" t="s">
        <v>363</v>
      </c>
      <c r="F90" t="s">
        <v>337</v>
      </c>
      <c r="G90" t="s">
        <v>61</v>
      </c>
      <c r="J90" t="s">
        <v>364</v>
      </c>
      <c r="K90" t="s">
        <v>354</v>
      </c>
      <c r="L90" t="s">
        <v>56</v>
      </c>
      <c r="N90">
        <v>2021</v>
      </c>
      <c r="T90" t="s">
        <v>363</v>
      </c>
      <c r="U90" t="s">
        <v>332</v>
      </c>
      <c r="X90" t="s">
        <v>345</v>
      </c>
    </row>
    <row r="91" spans="3:24" x14ac:dyDescent="0.2">
      <c r="C91" t="s">
        <v>3</v>
      </c>
      <c r="D91" t="s">
        <v>329</v>
      </c>
      <c r="E91" t="s">
        <v>363</v>
      </c>
      <c r="F91" t="s">
        <v>337</v>
      </c>
      <c r="G91" t="s">
        <v>61</v>
      </c>
      <c r="J91" t="s">
        <v>365</v>
      </c>
      <c r="K91" t="s">
        <v>347</v>
      </c>
      <c r="L91" t="s">
        <v>56</v>
      </c>
      <c r="N91" s="9"/>
    </row>
    <row r="92" spans="3:24" x14ac:dyDescent="0.2">
      <c r="C92" t="s">
        <v>3</v>
      </c>
      <c r="D92" t="s">
        <v>329</v>
      </c>
      <c r="E92" t="s">
        <v>363</v>
      </c>
      <c r="F92" t="s">
        <v>337</v>
      </c>
      <c r="G92" t="s">
        <v>61</v>
      </c>
      <c r="J92" t="s">
        <v>366</v>
      </c>
      <c r="K92" t="s">
        <v>349</v>
      </c>
      <c r="L92" t="s">
        <v>56</v>
      </c>
      <c r="N92" s="9"/>
    </row>
    <row r="93" spans="3:24" x14ac:dyDescent="0.2">
      <c r="C93" t="s">
        <v>3</v>
      </c>
      <c r="D93" t="s">
        <v>329</v>
      </c>
      <c r="E93" t="s">
        <v>363</v>
      </c>
      <c r="F93" t="s">
        <v>337</v>
      </c>
      <c r="G93" t="s">
        <v>61</v>
      </c>
      <c r="J93" t="s">
        <v>367</v>
      </c>
      <c r="K93" t="s">
        <v>351</v>
      </c>
      <c r="L93" t="s">
        <v>56</v>
      </c>
      <c r="N93" s="9"/>
    </row>
    <row r="94" spans="3:24" x14ac:dyDescent="0.2">
      <c r="C94" t="s">
        <v>3</v>
      </c>
      <c r="D94" t="s">
        <v>329</v>
      </c>
      <c r="E94" t="s">
        <v>368</v>
      </c>
      <c r="F94" t="s">
        <v>337</v>
      </c>
      <c r="G94" t="s">
        <v>61</v>
      </c>
      <c r="J94" t="s">
        <v>369</v>
      </c>
      <c r="K94" t="s">
        <v>354</v>
      </c>
      <c r="L94" t="s">
        <v>56</v>
      </c>
      <c r="N94">
        <v>2021</v>
      </c>
      <c r="T94" t="s">
        <v>368</v>
      </c>
      <c r="U94" t="s">
        <v>332</v>
      </c>
      <c r="X94" t="s">
        <v>345</v>
      </c>
    </row>
    <row r="95" spans="3:24" x14ac:dyDescent="0.2">
      <c r="C95" t="s">
        <v>3</v>
      </c>
      <c r="D95" t="s">
        <v>329</v>
      </c>
      <c r="E95" t="s">
        <v>368</v>
      </c>
      <c r="F95" t="s">
        <v>337</v>
      </c>
      <c r="G95" t="s">
        <v>61</v>
      </c>
      <c r="J95" t="s">
        <v>370</v>
      </c>
      <c r="K95" t="s">
        <v>347</v>
      </c>
      <c r="L95" t="s">
        <v>56</v>
      </c>
      <c r="N95" s="9"/>
    </row>
    <row r="96" spans="3:24" x14ac:dyDescent="0.2">
      <c r="C96" t="s">
        <v>3</v>
      </c>
      <c r="D96" t="s">
        <v>329</v>
      </c>
      <c r="E96" t="s">
        <v>368</v>
      </c>
      <c r="F96" t="s">
        <v>337</v>
      </c>
      <c r="G96" t="s">
        <v>61</v>
      </c>
      <c r="J96" t="s">
        <v>371</v>
      </c>
      <c r="K96" t="s">
        <v>349</v>
      </c>
      <c r="L96" t="s">
        <v>56</v>
      </c>
      <c r="N96" s="9"/>
    </row>
    <row r="97" spans="3:41" x14ac:dyDescent="0.2">
      <c r="C97" t="s">
        <v>3</v>
      </c>
      <c r="D97" t="s">
        <v>329</v>
      </c>
      <c r="E97" t="s">
        <v>368</v>
      </c>
      <c r="F97" t="s">
        <v>337</v>
      </c>
      <c r="G97" t="s">
        <v>61</v>
      </c>
      <c r="J97" t="s">
        <v>372</v>
      </c>
      <c r="K97" t="s">
        <v>351</v>
      </c>
      <c r="L97" t="s">
        <v>56</v>
      </c>
      <c r="N97" s="9"/>
    </row>
    <row r="98" spans="3:41" x14ac:dyDescent="0.2">
      <c r="C98" t="s">
        <v>3</v>
      </c>
      <c r="D98" t="s">
        <v>329</v>
      </c>
      <c r="E98" t="s">
        <v>373</v>
      </c>
      <c r="F98" t="s">
        <v>337</v>
      </c>
      <c r="G98" t="s">
        <v>61</v>
      </c>
      <c r="J98" t="s">
        <v>374</v>
      </c>
      <c r="K98" t="s">
        <v>347</v>
      </c>
      <c r="L98" t="s">
        <v>56</v>
      </c>
      <c r="N98">
        <v>2021</v>
      </c>
      <c r="T98" t="s">
        <v>373</v>
      </c>
      <c r="U98" t="s">
        <v>332</v>
      </c>
      <c r="X98" t="s">
        <v>345</v>
      </c>
    </row>
    <row r="99" spans="3:41" x14ac:dyDescent="0.2">
      <c r="C99" t="s">
        <v>3</v>
      </c>
      <c r="D99" t="s">
        <v>329</v>
      </c>
      <c r="E99" t="s">
        <v>373</v>
      </c>
      <c r="F99" t="s">
        <v>337</v>
      </c>
      <c r="G99" t="s">
        <v>61</v>
      </c>
      <c r="J99" t="s">
        <v>375</v>
      </c>
      <c r="K99" t="s">
        <v>351</v>
      </c>
      <c r="L99" t="s">
        <v>56</v>
      </c>
      <c r="N99" s="9"/>
    </row>
    <row r="100" spans="3:41" x14ac:dyDescent="0.2">
      <c r="C100" t="s">
        <v>3</v>
      </c>
      <c r="D100" t="s">
        <v>329</v>
      </c>
      <c r="E100" t="s">
        <v>376</v>
      </c>
      <c r="F100" t="s">
        <v>382</v>
      </c>
      <c r="G100" t="s">
        <v>131</v>
      </c>
      <c r="J100" t="s">
        <v>377</v>
      </c>
      <c r="K100" t="s">
        <v>378</v>
      </c>
      <c r="L100" t="s">
        <v>11</v>
      </c>
      <c r="N100">
        <v>2015</v>
      </c>
      <c r="T100" t="s">
        <v>376</v>
      </c>
      <c r="U100" t="s">
        <v>409</v>
      </c>
      <c r="X100" t="s">
        <v>345</v>
      </c>
      <c r="Y100" s="10" t="s">
        <v>64</v>
      </c>
      <c r="AE100" t="s">
        <v>238</v>
      </c>
    </row>
    <row r="101" spans="3:41" s="12" customFormat="1" x14ac:dyDescent="0.2">
      <c r="C101" s="12" t="s">
        <v>3</v>
      </c>
      <c r="D101" s="12" t="s">
        <v>394</v>
      </c>
      <c r="E101" s="12" t="s">
        <v>416</v>
      </c>
      <c r="F101" s="12" t="s">
        <v>408</v>
      </c>
      <c r="G101" s="12" t="s">
        <v>131</v>
      </c>
      <c r="J101" t="s">
        <v>391</v>
      </c>
      <c r="K101" s="12" t="s">
        <v>392</v>
      </c>
      <c r="L101" s="12" t="s">
        <v>11</v>
      </c>
      <c r="P101" s="12">
        <v>1</v>
      </c>
      <c r="Q101" s="12" t="s">
        <v>47</v>
      </c>
      <c r="T101" s="12" t="s">
        <v>417</v>
      </c>
      <c r="U101" s="17" t="s">
        <v>390</v>
      </c>
      <c r="V101" s="17" t="s">
        <v>410</v>
      </c>
      <c r="X101" s="12" t="s">
        <v>53</v>
      </c>
      <c r="Z101" s="12" t="s">
        <v>37</v>
      </c>
      <c r="AC101" s="12" t="s">
        <v>34</v>
      </c>
      <c r="AE101" s="12" t="s">
        <v>238</v>
      </c>
    </row>
    <row r="102" spans="3:41" s="12" customFormat="1" x14ac:dyDescent="0.2">
      <c r="C102" s="12" t="s">
        <v>3</v>
      </c>
      <c r="D102" s="12" t="s">
        <v>394</v>
      </c>
      <c r="E102" s="12" t="s">
        <v>416</v>
      </c>
      <c r="F102" s="12" t="s">
        <v>408</v>
      </c>
      <c r="G102" s="12" t="s">
        <v>131</v>
      </c>
      <c r="J102" t="s">
        <v>391</v>
      </c>
      <c r="K102" s="12" t="s">
        <v>393</v>
      </c>
      <c r="L102" s="12" t="s">
        <v>11</v>
      </c>
      <c r="N102" s="12">
        <v>2020</v>
      </c>
      <c r="Z102" s="12" t="s">
        <v>38</v>
      </c>
      <c r="AC102" s="12" t="s">
        <v>35</v>
      </c>
    </row>
    <row r="103" spans="3:41" x14ac:dyDescent="0.2">
      <c r="C103" t="s">
        <v>3</v>
      </c>
      <c r="D103" t="s">
        <v>394</v>
      </c>
      <c r="E103" t="s">
        <v>413</v>
      </c>
      <c r="F103" t="s">
        <v>408</v>
      </c>
      <c r="G103" t="s">
        <v>131</v>
      </c>
      <c r="J103" t="s">
        <v>414</v>
      </c>
      <c r="K103" t="s">
        <v>392</v>
      </c>
      <c r="L103" t="s">
        <v>11</v>
      </c>
      <c r="P103">
        <v>1</v>
      </c>
      <c r="Q103" t="s">
        <v>47</v>
      </c>
      <c r="T103" t="s">
        <v>415</v>
      </c>
      <c r="U103" s="9" t="s">
        <v>390</v>
      </c>
      <c r="V103" s="9" t="s">
        <v>410</v>
      </c>
      <c r="X103" t="s">
        <v>53</v>
      </c>
      <c r="Z103" t="s">
        <v>37</v>
      </c>
      <c r="AC103" t="s">
        <v>34</v>
      </c>
      <c r="AE103" t="s">
        <v>238</v>
      </c>
    </row>
    <row r="104" spans="3:41" x14ac:dyDescent="0.2">
      <c r="C104" t="s">
        <v>3</v>
      </c>
      <c r="D104" t="s">
        <v>394</v>
      </c>
      <c r="E104" t="s">
        <v>413</v>
      </c>
      <c r="F104" t="s">
        <v>408</v>
      </c>
      <c r="G104" t="s">
        <v>131</v>
      </c>
      <c r="J104" t="s">
        <v>414</v>
      </c>
      <c r="K104" t="s">
        <v>393</v>
      </c>
      <c r="L104" t="s">
        <v>11</v>
      </c>
      <c r="N104">
        <v>2020</v>
      </c>
      <c r="Z104" t="s">
        <v>38</v>
      </c>
      <c r="AC104" t="s">
        <v>35</v>
      </c>
    </row>
    <row r="105" spans="3:41" s="23" customFormat="1" x14ac:dyDescent="0.2">
      <c r="C105" s="23" t="s">
        <v>3</v>
      </c>
      <c r="D105" s="23" t="s">
        <v>394</v>
      </c>
      <c r="E105" s="23" t="s">
        <v>496</v>
      </c>
      <c r="F105" s="23" t="s">
        <v>497</v>
      </c>
      <c r="G105" s="23" t="s">
        <v>131</v>
      </c>
      <c r="J105" s="51" t="s">
        <v>498</v>
      </c>
      <c r="K105" s="23" t="s">
        <v>506</v>
      </c>
      <c r="L105" s="23" t="s">
        <v>11</v>
      </c>
      <c r="R105" s="23" t="s">
        <v>47</v>
      </c>
      <c r="T105" s="23" t="s">
        <v>507</v>
      </c>
      <c r="U105" s="23" t="s">
        <v>517</v>
      </c>
      <c r="X105" s="23" t="s">
        <v>53</v>
      </c>
      <c r="Y105" s="23" t="s">
        <v>64</v>
      </c>
      <c r="AE105" t="s">
        <v>236</v>
      </c>
      <c r="AF105" s="23" t="s">
        <v>518</v>
      </c>
      <c r="AM105" s="23">
        <v>9</v>
      </c>
      <c r="AN105" s="23" t="s">
        <v>516</v>
      </c>
      <c r="AO105" s="23" t="s">
        <v>511</v>
      </c>
    </row>
    <row r="106" spans="3:41" s="23" customFormat="1" x14ac:dyDescent="0.2">
      <c r="C106" s="23" t="s">
        <v>3</v>
      </c>
      <c r="D106" s="23" t="s">
        <v>394</v>
      </c>
      <c r="E106" s="23" t="s">
        <v>496</v>
      </c>
      <c r="F106" s="23" t="s">
        <v>497</v>
      </c>
      <c r="G106" s="23" t="s">
        <v>131</v>
      </c>
      <c r="J106" s="51" t="s">
        <v>499</v>
      </c>
      <c r="K106" s="51" t="s">
        <v>499</v>
      </c>
      <c r="L106" s="23" t="s">
        <v>11</v>
      </c>
      <c r="R106" s="23" t="s">
        <v>47</v>
      </c>
      <c r="AE106" t="s">
        <v>236</v>
      </c>
    </row>
    <row r="107" spans="3:41" s="23" customFormat="1" x14ac:dyDescent="0.2">
      <c r="C107" s="23" t="s">
        <v>3</v>
      </c>
      <c r="D107" s="23" t="s">
        <v>394</v>
      </c>
      <c r="E107" s="23" t="s">
        <v>496</v>
      </c>
      <c r="F107" s="23" t="s">
        <v>497</v>
      </c>
      <c r="G107" s="23" t="s">
        <v>131</v>
      </c>
      <c r="J107" s="51" t="s">
        <v>500</v>
      </c>
      <c r="K107" s="51" t="s">
        <v>500</v>
      </c>
      <c r="L107" s="23" t="s">
        <v>11</v>
      </c>
      <c r="R107" s="23" t="s">
        <v>47</v>
      </c>
      <c r="AE107" t="s">
        <v>236</v>
      </c>
    </row>
    <row r="108" spans="3:41" s="23" customFormat="1" x14ac:dyDescent="0.2">
      <c r="C108" s="23" t="s">
        <v>3</v>
      </c>
      <c r="D108" s="23" t="s">
        <v>394</v>
      </c>
      <c r="E108" s="23" t="s">
        <v>496</v>
      </c>
      <c r="F108" s="23" t="s">
        <v>497</v>
      </c>
      <c r="G108" s="23" t="s">
        <v>131</v>
      </c>
      <c r="J108" s="51" t="s">
        <v>501</v>
      </c>
      <c r="K108" s="51" t="s">
        <v>501</v>
      </c>
      <c r="L108" s="23" t="s">
        <v>11</v>
      </c>
      <c r="R108" s="23" t="s">
        <v>47</v>
      </c>
      <c r="AE108" t="s">
        <v>236</v>
      </c>
    </row>
    <row r="109" spans="3:41" s="23" customFormat="1" x14ac:dyDescent="0.2">
      <c r="C109" s="23" t="s">
        <v>3</v>
      </c>
      <c r="D109" s="23" t="s">
        <v>394</v>
      </c>
      <c r="E109" s="23" t="s">
        <v>496</v>
      </c>
      <c r="F109" s="23" t="s">
        <v>497</v>
      </c>
      <c r="G109" s="23" t="s">
        <v>131</v>
      </c>
      <c r="J109" s="51" t="s">
        <v>502</v>
      </c>
      <c r="K109" s="51" t="s">
        <v>502</v>
      </c>
      <c r="L109" s="23" t="s">
        <v>11</v>
      </c>
      <c r="R109" s="23" t="s">
        <v>47</v>
      </c>
      <c r="AE109" t="s">
        <v>236</v>
      </c>
    </row>
    <row r="110" spans="3:41" s="23" customFormat="1" x14ac:dyDescent="0.2">
      <c r="C110" s="23" t="s">
        <v>3</v>
      </c>
      <c r="D110" s="23" t="s">
        <v>394</v>
      </c>
      <c r="E110" s="23" t="s">
        <v>496</v>
      </c>
      <c r="F110" s="23" t="s">
        <v>497</v>
      </c>
      <c r="G110" s="23" t="s">
        <v>131</v>
      </c>
      <c r="J110" s="51" t="s">
        <v>503</v>
      </c>
      <c r="K110" s="51" t="s">
        <v>503</v>
      </c>
      <c r="L110" s="23" t="s">
        <v>11</v>
      </c>
      <c r="R110" s="23" t="s">
        <v>47</v>
      </c>
      <c r="AE110" t="s">
        <v>236</v>
      </c>
    </row>
    <row r="111" spans="3:41" s="23" customFormat="1" x14ac:dyDescent="0.2">
      <c r="C111" s="23" t="s">
        <v>3</v>
      </c>
      <c r="D111" s="23" t="s">
        <v>394</v>
      </c>
      <c r="E111" s="23" t="s">
        <v>496</v>
      </c>
      <c r="F111" s="23" t="s">
        <v>497</v>
      </c>
      <c r="G111" s="23" t="s">
        <v>131</v>
      </c>
      <c r="J111" s="51" t="s">
        <v>504</v>
      </c>
      <c r="K111" s="51" t="s">
        <v>504</v>
      </c>
      <c r="L111" s="23" t="s">
        <v>11</v>
      </c>
      <c r="R111" s="23" t="s">
        <v>47</v>
      </c>
      <c r="AE111" t="s">
        <v>236</v>
      </c>
    </row>
    <row r="112" spans="3:41" s="23" customFormat="1" x14ac:dyDescent="0.2">
      <c r="C112" s="23" t="s">
        <v>3</v>
      </c>
      <c r="D112" s="23" t="s">
        <v>394</v>
      </c>
      <c r="E112" s="23" t="s">
        <v>496</v>
      </c>
      <c r="F112" s="23" t="s">
        <v>497</v>
      </c>
      <c r="G112" s="23" t="s">
        <v>131</v>
      </c>
      <c r="J112" s="51" t="s">
        <v>505</v>
      </c>
      <c r="K112" s="51" t="s">
        <v>505</v>
      </c>
      <c r="L112" s="23" t="s">
        <v>11</v>
      </c>
      <c r="R112" s="23" t="s">
        <v>47</v>
      </c>
      <c r="AE112" t="s">
        <v>236</v>
      </c>
    </row>
    <row r="113" spans="2:41" s="23" customFormat="1" x14ac:dyDescent="0.2">
      <c r="C113" s="23" t="s">
        <v>3</v>
      </c>
      <c r="D113" s="23" t="s">
        <v>394</v>
      </c>
      <c r="E113" s="23" t="s">
        <v>512</v>
      </c>
      <c r="F113" s="23" t="s">
        <v>497</v>
      </c>
      <c r="G113" s="23" t="s">
        <v>131</v>
      </c>
      <c r="J113" t="s">
        <v>499</v>
      </c>
      <c r="K113" t="s">
        <v>499</v>
      </c>
      <c r="L113" s="23" t="s">
        <v>11</v>
      </c>
      <c r="R113" s="23" t="s">
        <v>47</v>
      </c>
      <c r="T113" s="23" t="s">
        <v>512</v>
      </c>
      <c r="U113" s="23" t="s">
        <v>517</v>
      </c>
      <c r="X113" s="23" t="s">
        <v>53</v>
      </c>
      <c r="Y113" s="23" t="s">
        <v>64</v>
      </c>
      <c r="AE113" t="s">
        <v>236</v>
      </c>
      <c r="AF113" s="23" t="s">
        <v>518</v>
      </c>
      <c r="AM113" s="23">
        <v>3</v>
      </c>
      <c r="AO113" s="23" t="s">
        <v>515</v>
      </c>
    </row>
    <row r="114" spans="2:41" s="23" customFormat="1" x14ac:dyDescent="0.2">
      <c r="C114" s="23" t="s">
        <v>3</v>
      </c>
      <c r="D114" s="23" t="s">
        <v>394</v>
      </c>
      <c r="E114" s="23" t="s">
        <v>512</v>
      </c>
      <c r="F114" s="23" t="s">
        <v>497</v>
      </c>
      <c r="G114" s="23" t="s">
        <v>131</v>
      </c>
      <c r="J114" t="s">
        <v>503</v>
      </c>
      <c r="K114" t="s">
        <v>503</v>
      </c>
      <c r="L114" s="23" t="s">
        <v>11</v>
      </c>
      <c r="R114" s="23" t="s">
        <v>47</v>
      </c>
      <c r="AE114" t="s">
        <v>236</v>
      </c>
    </row>
    <row r="115" spans="2:41" s="23" customFormat="1" x14ac:dyDescent="0.2">
      <c r="C115" s="23" t="s">
        <v>3</v>
      </c>
      <c r="D115" s="23" t="s">
        <v>394</v>
      </c>
      <c r="E115" s="23" t="s">
        <v>513</v>
      </c>
      <c r="F115" s="23" t="s">
        <v>497</v>
      </c>
      <c r="G115" s="23" t="s">
        <v>131</v>
      </c>
      <c r="J115" t="s">
        <v>500</v>
      </c>
      <c r="K115" t="s">
        <v>500</v>
      </c>
      <c r="L115" s="23" t="s">
        <v>11</v>
      </c>
      <c r="R115" s="23" t="s">
        <v>47</v>
      </c>
      <c r="T115" s="23" t="s">
        <v>513</v>
      </c>
      <c r="U115" s="23" t="s">
        <v>517</v>
      </c>
      <c r="X115" s="23" t="s">
        <v>53</v>
      </c>
      <c r="Y115" s="23" t="s">
        <v>64</v>
      </c>
      <c r="AE115" t="s">
        <v>236</v>
      </c>
      <c r="AF115" s="23" t="s">
        <v>518</v>
      </c>
      <c r="AM115" s="23">
        <v>3</v>
      </c>
      <c r="AO115" s="23" t="s">
        <v>515</v>
      </c>
    </row>
    <row r="116" spans="2:41" s="23" customFormat="1" x14ac:dyDescent="0.2">
      <c r="C116" s="23" t="s">
        <v>3</v>
      </c>
      <c r="D116" s="23" t="s">
        <v>394</v>
      </c>
      <c r="E116" s="23" t="s">
        <v>513</v>
      </c>
      <c r="F116" s="23" t="s">
        <v>497</v>
      </c>
      <c r="G116" s="23" t="s">
        <v>131</v>
      </c>
      <c r="J116" t="s">
        <v>504</v>
      </c>
      <c r="K116" t="s">
        <v>504</v>
      </c>
      <c r="L116" s="23" t="s">
        <v>11</v>
      </c>
      <c r="R116" s="23" t="s">
        <v>47</v>
      </c>
      <c r="AE116" t="s">
        <v>236</v>
      </c>
    </row>
    <row r="117" spans="2:41" s="23" customFormat="1" x14ac:dyDescent="0.2">
      <c r="C117" s="23" t="s">
        <v>3</v>
      </c>
      <c r="D117" s="23" t="s">
        <v>394</v>
      </c>
      <c r="E117" s="23" t="s">
        <v>514</v>
      </c>
      <c r="F117" s="23" t="s">
        <v>497</v>
      </c>
      <c r="G117" s="23" t="s">
        <v>131</v>
      </c>
      <c r="J117" t="s">
        <v>501</v>
      </c>
      <c r="K117" t="s">
        <v>501</v>
      </c>
      <c r="L117" s="23" t="s">
        <v>11</v>
      </c>
      <c r="R117" s="23" t="s">
        <v>47</v>
      </c>
      <c r="T117" s="23" t="s">
        <v>514</v>
      </c>
      <c r="U117" s="23" t="s">
        <v>517</v>
      </c>
      <c r="X117" s="23" t="s">
        <v>53</v>
      </c>
      <c r="Y117" s="23" t="s">
        <v>64</v>
      </c>
      <c r="AE117" t="s">
        <v>236</v>
      </c>
      <c r="AF117" s="23" t="s">
        <v>518</v>
      </c>
      <c r="AM117" s="23">
        <v>3</v>
      </c>
      <c r="AO117" s="23" t="s">
        <v>515</v>
      </c>
    </row>
    <row r="118" spans="2:41" s="23" customFormat="1" x14ac:dyDescent="0.2">
      <c r="C118" s="23" t="s">
        <v>3</v>
      </c>
      <c r="D118" s="23" t="s">
        <v>394</v>
      </c>
      <c r="E118" s="23" t="s">
        <v>514</v>
      </c>
      <c r="F118" s="23" t="s">
        <v>497</v>
      </c>
      <c r="G118" s="23" t="s">
        <v>131</v>
      </c>
      <c r="J118" t="s">
        <v>505</v>
      </c>
      <c r="K118" t="s">
        <v>505</v>
      </c>
      <c r="L118" s="23" t="s">
        <v>11</v>
      </c>
      <c r="R118" s="23" t="s">
        <v>47</v>
      </c>
      <c r="AE118" t="s">
        <v>236</v>
      </c>
    </row>
    <row r="119" spans="2:41" x14ac:dyDescent="0.2">
      <c r="B119" s="12" t="s">
        <v>428</v>
      </c>
      <c r="C119" t="s">
        <v>418</v>
      </c>
      <c r="D119" t="s">
        <v>419</v>
      </c>
      <c r="E119" t="s">
        <v>420</v>
      </c>
      <c r="F119" t="s">
        <v>426</v>
      </c>
      <c r="G119" t="s">
        <v>343</v>
      </c>
      <c r="J119" t="s">
        <v>421</v>
      </c>
      <c r="K119" t="s">
        <v>429</v>
      </c>
      <c r="L119" t="s">
        <v>56</v>
      </c>
      <c r="P119">
        <v>1</v>
      </c>
      <c r="T119" t="s">
        <v>420</v>
      </c>
      <c r="U119" t="s">
        <v>427</v>
      </c>
      <c r="X119" t="s">
        <v>431</v>
      </c>
      <c r="Z119" t="s">
        <v>37</v>
      </c>
      <c r="AE119" t="s">
        <v>238</v>
      </c>
    </row>
    <row r="120" spans="2:41" x14ac:dyDescent="0.2">
      <c r="B120" s="12" t="s">
        <v>428</v>
      </c>
      <c r="C120" t="s">
        <v>418</v>
      </c>
      <c r="D120" t="s">
        <v>419</v>
      </c>
      <c r="E120" t="s">
        <v>420</v>
      </c>
      <c r="F120" t="s">
        <v>426</v>
      </c>
      <c r="G120" t="s">
        <v>343</v>
      </c>
      <c r="J120" t="s">
        <v>422</v>
      </c>
      <c r="K120" t="s">
        <v>430</v>
      </c>
      <c r="L120" t="s">
        <v>56</v>
      </c>
      <c r="P120">
        <v>1</v>
      </c>
      <c r="X120" t="s">
        <v>431</v>
      </c>
      <c r="Z120" t="s">
        <v>37</v>
      </c>
      <c r="AE120" t="s">
        <v>238</v>
      </c>
    </row>
    <row r="121" spans="2:41" x14ac:dyDescent="0.2">
      <c r="C121" t="s">
        <v>418</v>
      </c>
      <c r="D121" t="s">
        <v>432</v>
      </c>
      <c r="E121" t="s">
        <v>438</v>
      </c>
      <c r="F121" t="s">
        <v>426</v>
      </c>
      <c r="G121" t="s">
        <v>343</v>
      </c>
      <c r="J121" t="s">
        <v>433</v>
      </c>
      <c r="K121" t="s">
        <v>433</v>
      </c>
      <c r="L121" t="s">
        <v>56</v>
      </c>
      <c r="N121">
        <v>2015</v>
      </c>
      <c r="T121" t="s">
        <v>438</v>
      </c>
      <c r="U121" t="s">
        <v>263</v>
      </c>
      <c r="X121" t="s">
        <v>431</v>
      </c>
      <c r="AE121" t="s">
        <v>238</v>
      </c>
    </row>
    <row r="122" spans="2:41" x14ac:dyDescent="0.2">
      <c r="C122" t="s">
        <v>418</v>
      </c>
      <c r="D122" t="s">
        <v>432</v>
      </c>
      <c r="E122" t="s">
        <v>438</v>
      </c>
      <c r="F122" t="s">
        <v>426</v>
      </c>
      <c r="G122" t="s">
        <v>343</v>
      </c>
      <c r="J122" t="s">
        <v>434</v>
      </c>
      <c r="K122" t="s">
        <v>434</v>
      </c>
      <c r="L122" t="s">
        <v>56</v>
      </c>
      <c r="N122">
        <v>2015</v>
      </c>
      <c r="AE122" t="s">
        <v>238</v>
      </c>
    </row>
    <row r="123" spans="2:41" x14ac:dyDescent="0.2">
      <c r="C123" t="s">
        <v>418</v>
      </c>
      <c r="D123" t="s">
        <v>432</v>
      </c>
      <c r="E123" t="s">
        <v>438</v>
      </c>
      <c r="F123" t="s">
        <v>426</v>
      </c>
      <c r="G123" t="s">
        <v>343</v>
      </c>
      <c r="J123" t="s">
        <v>435</v>
      </c>
      <c r="K123" t="s">
        <v>435</v>
      </c>
      <c r="L123" t="s">
        <v>56</v>
      </c>
      <c r="N123">
        <v>2015</v>
      </c>
      <c r="AE123" t="s">
        <v>238</v>
      </c>
    </row>
    <row r="124" spans="2:41" x14ac:dyDescent="0.2">
      <c r="C124" t="s">
        <v>418</v>
      </c>
      <c r="D124" t="s">
        <v>432</v>
      </c>
      <c r="E124" t="s">
        <v>438</v>
      </c>
      <c r="F124" t="s">
        <v>426</v>
      </c>
      <c r="G124" t="s">
        <v>343</v>
      </c>
      <c r="J124" t="s">
        <v>436</v>
      </c>
      <c r="K124" t="s">
        <v>436</v>
      </c>
      <c r="L124" t="s">
        <v>56</v>
      </c>
      <c r="N124">
        <v>2015</v>
      </c>
      <c r="AE124" t="s">
        <v>238</v>
      </c>
    </row>
    <row r="125" spans="2:41" x14ac:dyDescent="0.2">
      <c r="C125" t="s">
        <v>418</v>
      </c>
      <c r="D125" t="s">
        <v>432</v>
      </c>
      <c r="E125" t="s">
        <v>439</v>
      </c>
      <c r="F125" t="s">
        <v>426</v>
      </c>
      <c r="G125" t="s">
        <v>343</v>
      </c>
      <c r="J125" t="s">
        <v>441</v>
      </c>
      <c r="K125" t="s">
        <v>441</v>
      </c>
      <c r="L125" t="s">
        <v>56</v>
      </c>
      <c r="T125" t="s">
        <v>439</v>
      </c>
      <c r="U125" t="s">
        <v>440</v>
      </c>
      <c r="X125" t="s">
        <v>431</v>
      </c>
      <c r="AE125" t="s">
        <v>238</v>
      </c>
    </row>
    <row r="126" spans="2:41" x14ac:dyDescent="0.2">
      <c r="C126" t="s">
        <v>418</v>
      </c>
      <c r="D126" t="s">
        <v>432</v>
      </c>
      <c r="E126" t="s">
        <v>439</v>
      </c>
      <c r="F126" t="s">
        <v>426</v>
      </c>
      <c r="G126" t="s">
        <v>343</v>
      </c>
      <c r="J126" t="s">
        <v>442</v>
      </c>
      <c r="K126" t="s">
        <v>442</v>
      </c>
      <c r="L126" t="s">
        <v>56</v>
      </c>
      <c r="AE126" t="s">
        <v>238</v>
      </c>
    </row>
    <row r="127" spans="2:41" x14ac:dyDescent="0.2">
      <c r="C127" t="s">
        <v>418</v>
      </c>
      <c r="D127" t="s">
        <v>432</v>
      </c>
      <c r="E127" t="s">
        <v>439</v>
      </c>
      <c r="F127" t="s">
        <v>426</v>
      </c>
      <c r="G127" t="s">
        <v>343</v>
      </c>
      <c r="J127" t="s">
        <v>443</v>
      </c>
      <c r="K127" t="s">
        <v>443</v>
      </c>
      <c r="L127" t="s">
        <v>56</v>
      </c>
      <c r="AE127" t="s">
        <v>238</v>
      </c>
    </row>
    <row r="128" spans="2:41" x14ac:dyDescent="0.2">
      <c r="C128" s="10" t="s">
        <v>418</v>
      </c>
      <c r="D128" t="s">
        <v>453</v>
      </c>
      <c r="E128" s="42" t="s">
        <v>444</v>
      </c>
      <c r="F128" t="s">
        <v>426</v>
      </c>
      <c r="G128" s="42" t="s">
        <v>343</v>
      </c>
      <c r="H128" s="42"/>
      <c r="I128" s="42"/>
      <c r="J128" s="42" t="s">
        <v>447</v>
      </c>
      <c r="K128" s="42" t="s">
        <v>448</v>
      </c>
      <c r="L128" s="42" t="s">
        <v>56</v>
      </c>
      <c r="T128" s="42" t="s">
        <v>445</v>
      </c>
      <c r="U128" t="s">
        <v>446</v>
      </c>
      <c r="AE128" t="s">
        <v>236</v>
      </c>
    </row>
    <row r="129" spans="1:37" x14ac:dyDescent="0.2">
      <c r="C129" s="10" t="s">
        <v>418</v>
      </c>
      <c r="D129" t="s">
        <v>453</v>
      </c>
      <c r="E129" s="42" t="s">
        <v>444</v>
      </c>
      <c r="F129" t="s">
        <v>426</v>
      </c>
      <c r="G129" s="42" t="s">
        <v>343</v>
      </c>
      <c r="H129" s="42"/>
      <c r="I129" s="42"/>
      <c r="J129" s="42" t="s">
        <v>449</v>
      </c>
      <c r="K129" s="42" t="s">
        <v>450</v>
      </c>
      <c r="L129" t="s">
        <v>56</v>
      </c>
      <c r="AE129" t="s">
        <v>236</v>
      </c>
    </row>
    <row r="130" spans="1:37" x14ac:dyDescent="0.2">
      <c r="C130" s="10" t="s">
        <v>418</v>
      </c>
      <c r="D130" t="s">
        <v>453</v>
      </c>
      <c r="E130" s="42" t="s">
        <v>444</v>
      </c>
      <c r="F130" t="s">
        <v>426</v>
      </c>
      <c r="G130" s="42" t="s">
        <v>343</v>
      </c>
      <c r="H130" s="42"/>
      <c r="I130" s="42"/>
      <c r="J130" s="42" t="s">
        <v>451</v>
      </c>
      <c r="K130" s="42" t="s">
        <v>452</v>
      </c>
      <c r="L130" t="s">
        <v>56</v>
      </c>
      <c r="AE130" t="s">
        <v>236</v>
      </c>
    </row>
    <row r="131" spans="1:37" x14ac:dyDescent="0.2">
      <c r="C131" s="10" t="s">
        <v>418</v>
      </c>
      <c r="D131" t="s">
        <v>453</v>
      </c>
      <c r="E131" t="s">
        <v>454</v>
      </c>
      <c r="F131" t="s">
        <v>426</v>
      </c>
      <c r="G131" s="42" t="s">
        <v>343</v>
      </c>
      <c r="H131" s="42"/>
      <c r="I131" s="42"/>
      <c r="J131" s="42" t="s">
        <v>456</v>
      </c>
      <c r="K131" s="42" t="s">
        <v>456</v>
      </c>
      <c r="L131" s="42" t="s">
        <v>56</v>
      </c>
      <c r="T131" s="42" t="s">
        <v>457</v>
      </c>
      <c r="U131" s="46" t="s">
        <v>95</v>
      </c>
      <c r="X131" t="s">
        <v>431</v>
      </c>
      <c r="AE131" t="s">
        <v>238</v>
      </c>
      <c r="AK131">
        <v>50</v>
      </c>
    </row>
    <row r="132" spans="1:37" x14ac:dyDescent="0.2">
      <c r="C132" s="10" t="s">
        <v>418</v>
      </c>
      <c r="D132" t="s">
        <v>453</v>
      </c>
      <c r="E132" t="s">
        <v>454</v>
      </c>
      <c r="F132" t="s">
        <v>426</v>
      </c>
      <c r="G132" s="42" t="s">
        <v>343</v>
      </c>
      <c r="H132" s="42"/>
      <c r="I132" s="42"/>
      <c r="J132" s="42" t="s">
        <v>455</v>
      </c>
      <c r="K132" s="42" t="s">
        <v>455</v>
      </c>
      <c r="L132" s="42" t="s">
        <v>56</v>
      </c>
      <c r="T132" s="42"/>
      <c r="AE132" t="s">
        <v>238</v>
      </c>
    </row>
    <row r="133" spans="1:37" x14ac:dyDescent="0.2">
      <c r="C133" s="10" t="s">
        <v>418</v>
      </c>
      <c r="D133" t="s">
        <v>453</v>
      </c>
      <c r="E133" t="s">
        <v>464</v>
      </c>
      <c r="F133" t="s">
        <v>426</v>
      </c>
      <c r="G133" s="42" t="s">
        <v>343</v>
      </c>
      <c r="H133" s="42"/>
      <c r="I133" s="42"/>
      <c r="J133" s="42" t="s">
        <v>459</v>
      </c>
      <c r="K133" s="42" t="s">
        <v>459</v>
      </c>
      <c r="L133" s="42" t="s">
        <v>56</v>
      </c>
      <c r="T133" s="42" t="s">
        <v>458</v>
      </c>
      <c r="U133" t="s">
        <v>210</v>
      </c>
      <c r="X133" s="42" t="s">
        <v>437</v>
      </c>
      <c r="AE133" t="s">
        <v>236</v>
      </c>
      <c r="AK133">
        <v>0</v>
      </c>
    </row>
    <row r="134" spans="1:37" s="42" customFormat="1" x14ac:dyDescent="0.2">
      <c r="A134" s="41"/>
      <c r="C134" s="10" t="s">
        <v>418</v>
      </c>
      <c r="D134" t="s">
        <v>453</v>
      </c>
      <c r="E134" t="s">
        <v>464</v>
      </c>
      <c r="F134" t="s">
        <v>426</v>
      </c>
      <c r="G134" s="42" t="s">
        <v>343</v>
      </c>
      <c r="J134" s="42" t="s">
        <v>460</v>
      </c>
      <c r="K134" s="42" t="s">
        <v>460</v>
      </c>
      <c r="L134" s="44" t="s">
        <v>56</v>
      </c>
      <c r="AE134" t="s">
        <v>236</v>
      </c>
    </row>
    <row r="135" spans="1:37" s="42" customFormat="1" x14ac:dyDescent="0.2">
      <c r="A135" s="41"/>
      <c r="C135" s="10" t="s">
        <v>418</v>
      </c>
      <c r="D135" t="s">
        <v>453</v>
      </c>
      <c r="E135" t="s">
        <v>464</v>
      </c>
      <c r="F135" t="s">
        <v>426</v>
      </c>
      <c r="G135" s="42" t="s">
        <v>343</v>
      </c>
      <c r="J135" s="42" t="s">
        <v>461</v>
      </c>
      <c r="K135" s="42" t="s">
        <v>461</v>
      </c>
      <c r="L135" s="42" t="s">
        <v>56</v>
      </c>
      <c r="AE135" t="s">
        <v>236</v>
      </c>
    </row>
    <row r="136" spans="1:37" s="42" customFormat="1" x14ac:dyDescent="0.2">
      <c r="A136" s="41"/>
      <c r="C136" s="10" t="s">
        <v>418</v>
      </c>
      <c r="D136" t="s">
        <v>453</v>
      </c>
      <c r="E136" t="s">
        <v>464</v>
      </c>
      <c r="F136" t="s">
        <v>426</v>
      </c>
      <c r="G136" s="42" t="s">
        <v>343</v>
      </c>
      <c r="J136" s="42" t="s">
        <v>462</v>
      </c>
      <c r="K136" s="42" t="s">
        <v>462</v>
      </c>
      <c r="L136" s="44" t="s">
        <v>56</v>
      </c>
      <c r="AE136" t="s">
        <v>236</v>
      </c>
    </row>
    <row r="137" spans="1:37" x14ac:dyDescent="0.2">
      <c r="C137" s="10" t="s">
        <v>418</v>
      </c>
      <c r="D137" t="s">
        <v>453</v>
      </c>
      <c r="E137" t="s">
        <v>464</v>
      </c>
      <c r="F137" t="s">
        <v>426</v>
      </c>
      <c r="G137" s="42" t="s">
        <v>343</v>
      </c>
      <c r="H137" s="42"/>
      <c r="I137" s="42"/>
      <c r="J137" s="42" t="s">
        <v>463</v>
      </c>
      <c r="K137" s="42" t="s">
        <v>463</v>
      </c>
      <c r="L137" s="42" t="s">
        <v>56</v>
      </c>
      <c r="AE137" t="s">
        <v>236</v>
      </c>
    </row>
    <row r="138" spans="1:37" x14ac:dyDescent="0.2">
      <c r="C138" s="10" t="s">
        <v>418</v>
      </c>
      <c r="D138" t="s">
        <v>453</v>
      </c>
      <c r="E138" s="42" t="s">
        <v>466</v>
      </c>
      <c r="F138" t="s">
        <v>426</v>
      </c>
      <c r="G138" s="42" t="s">
        <v>343</v>
      </c>
      <c r="H138" s="42"/>
      <c r="I138" s="42"/>
      <c r="J138" s="42" t="s">
        <v>466</v>
      </c>
      <c r="K138" s="42" t="s">
        <v>466</v>
      </c>
      <c r="L138" s="44" t="s">
        <v>56</v>
      </c>
      <c r="T138" s="42" t="s">
        <v>466</v>
      </c>
      <c r="U138" t="s">
        <v>440</v>
      </c>
      <c r="X138" t="s">
        <v>467</v>
      </c>
      <c r="Y138" t="s">
        <v>64</v>
      </c>
      <c r="AE138" t="s">
        <v>236</v>
      </c>
      <c r="AK138">
        <v>0</v>
      </c>
    </row>
    <row r="139" spans="1:37" x14ac:dyDescent="0.2">
      <c r="C139" s="10" t="s">
        <v>418</v>
      </c>
      <c r="D139" t="s">
        <v>453</v>
      </c>
      <c r="E139" s="42" t="s">
        <v>465</v>
      </c>
      <c r="F139" t="s">
        <v>426</v>
      </c>
      <c r="G139" s="42" t="s">
        <v>343</v>
      </c>
      <c r="H139" s="42"/>
      <c r="I139" s="42"/>
      <c r="J139" s="42" t="s">
        <v>465</v>
      </c>
      <c r="K139" s="42" t="s">
        <v>465</v>
      </c>
      <c r="L139" s="42" t="s">
        <v>56</v>
      </c>
      <c r="T139" s="42" t="s">
        <v>465</v>
      </c>
      <c r="U139" t="s">
        <v>440</v>
      </c>
      <c r="X139" t="s">
        <v>467</v>
      </c>
      <c r="Y139" t="s">
        <v>64</v>
      </c>
      <c r="AE139" t="s">
        <v>236</v>
      </c>
      <c r="AK139">
        <v>0</v>
      </c>
    </row>
    <row r="140" spans="1:37" x14ac:dyDescent="0.2">
      <c r="C140" s="10" t="s">
        <v>418</v>
      </c>
      <c r="D140" t="s">
        <v>473</v>
      </c>
      <c r="E140" s="42" t="s">
        <v>468</v>
      </c>
      <c r="F140" t="s">
        <v>426</v>
      </c>
      <c r="G140" s="42" t="s">
        <v>343</v>
      </c>
      <c r="H140" s="42"/>
      <c r="I140" s="42"/>
      <c r="J140" s="42" t="s">
        <v>469</v>
      </c>
      <c r="K140" s="42" t="s">
        <v>469</v>
      </c>
      <c r="L140" s="44" t="s">
        <v>56</v>
      </c>
      <c r="T140" s="10" t="s">
        <v>468</v>
      </c>
      <c r="U140" s="47" t="s">
        <v>440</v>
      </c>
      <c r="X140" s="42" t="s">
        <v>437</v>
      </c>
      <c r="AE140" t="s">
        <v>236</v>
      </c>
    </row>
    <row r="141" spans="1:37" x14ac:dyDescent="0.2">
      <c r="C141" s="10" t="s">
        <v>418</v>
      </c>
      <c r="D141" t="s">
        <v>473</v>
      </c>
      <c r="E141" s="42" t="s">
        <v>468</v>
      </c>
      <c r="F141" t="s">
        <v>426</v>
      </c>
      <c r="G141" s="42" t="s">
        <v>343</v>
      </c>
      <c r="H141" s="42"/>
      <c r="I141" s="42"/>
      <c r="J141" s="42" t="s">
        <v>470</v>
      </c>
      <c r="K141" s="42" t="s">
        <v>470</v>
      </c>
      <c r="L141" s="42" t="s">
        <v>56</v>
      </c>
      <c r="AE141" t="s">
        <v>236</v>
      </c>
    </row>
    <row r="142" spans="1:37" x14ac:dyDescent="0.2">
      <c r="C142" s="10" t="s">
        <v>418</v>
      </c>
      <c r="D142" t="s">
        <v>473</v>
      </c>
      <c r="E142" s="42" t="s">
        <v>468</v>
      </c>
      <c r="F142" t="s">
        <v>426</v>
      </c>
      <c r="G142" s="42" t="s">
        <v>343</v>
      </c>
      <c r="H142" s="42"/>
      <c r="I142" s="42"/>
      <c r="J142" s="42" t="s">
        <v>471</v>
      </c>
      <c r="K142" s="42" t="s">
        <v>471</v>
      </c>
      <c r="L142" s="44" t="s">
        <v>56</v>
      </c>
      <c r="AE142" t="s">
        <v>236</v>
      </c>
    </row>
    <row r="143" spans="1:37" x14ac:dyDescent="0.2">
      <c r="C143" s="10" t="s">
        <v>418</v>
      </c>
      <c r="D143" t="s">
        <v>473</v>
      </c>
      <c r="E143" s="42" t="s">
        <v>468</v>
      </c>
      <c r="F143" t="s">
        <v>426</v>
      </c>
      <c r="G143" s="42" t="s">
        <v>343</v>
      </c>
      <c r="H143" s="42"/>
      <c r="I143" s="42"/>
      <c r="J143" s="42" t="s">
        <v>472</v>
      </c>
      <c r="K143" s="42" t="s">
        <v>472</v>
      </c>
      <c r="L143" s="42" t="s">
        <v>56</v>
      </c>
      <c r="AE143" t="s">
        <v>236</v>
      </c>
    </row>
    <row r="144" spans="1:37" x14ac:dyDescent="0.2">
      <c r="C144" s="10" t="s">
        <v>418</v>
      </c>
      <c r="D144" t="s">
        <v>473</v>
      </c>
      <c r="E144" s="42" t="s">
        <v>479</v>
      </c>
      <c r="F144" t="s">
        <v>99</v>
      </c>
      <c r="G144" s="42" t="s">
        <v>343</v>
      </c>
      <c r="H144" s="42"/>
      <c r="I144" s="42"/>
      <c r="J144" t="s">
        <v>475</v>
      </c>
      <c r="K144" s="42" t="s">
        <v>472</v>
      </c>
      <c r="L144" s="44" t="s">
        <v>56</v>
      </c>
      <c r="T144" s="42" t="s">
        <v>474</v>
      </c>
      <c r="U144" s="45" t="s">
        <v>440</v>
      </c>
      <c r="X144" s="42" t="s">
        <v>192</v>
      </c>
      <c r="AE144" t="s">
        <v>236</v>
      </c>
    </row>
    <row r="145" spans="1:31" x14ac:dyDescent="0.2">
      <c r="C145" s="10" t="s">
        <v>418</v>
      </c>
      <c r="D145" t="s">
        <v>473</v>
      </c>
      <c r="E145" s="42" t="s">
        <v>479</v>
      </c>
      <c r="F145" t="s">
        <v>99</v>
      </c>
      <c r="G145" s="42" t="s">
        <v>343</v>
      </c>
      <c r="H145" s="42"/>
      <c r="I145" s="42"/>
      <c r="J145" t="s">
        <v>477</v>
      </c>
      <c r="K145" s="42" t="s">
        <v>478</v>
      </c>
      <c r="L145" s="42" t="s">
        <v>56</v>
      </c>
      <c r="X145" s="42" t="s">
        <v>476</v>
      </c>
      <c r="AE145" t="s">
        <v>236</v>
      </c>
    </row>
    <row r="146" spans="1:31" x14ac:dyDescent="0.2">
      <c r="C146" s="10" t="s">
        <v>418</v>
      </c>
      <c r="D146" t="s">
        <v>473</v>
      </c>
      <c r="E146" s="42" t="s">
        <v>481</v>
      </c>
      <c r="F146" t="s">
        <v>99</v>
      </c>
      <c r="G146" s="42" t="s">
        <v>343</v>
      </c>
      <c r="H146" s="42"/>
      <c r="I146" s="42"/>
      <c r="J146" s="42" t="s">
        <v>480</v>
      </c>
      <c r="K146" s="42" t="s">
        <v>482</v>
      </c>
      <c r="L146" s="44" t="s">
        <v>56</v>
      </c>
      <c r="T146" s="10" t="s">
        <v>481</v>
      </c>
      <c r="U146" s="48" t="s">
        <v>440</v>
      </c>
      <c r="X146" t="s">
        <v>341</v>
      </c>
      <c r="AE146" t="s">
        <v>236</v>
      </c>
    </row>
    <row r="147" spans="1:31" x14ac:dyDescent="0.2">
      <c r="C147" s="50" t="s">
        <v>418</v>
      </c>
      <c r="D147" s="50" t="s">
        <v>473</v>
      </c>
      <c r="E147" s="50" t="s">
        <v>486</v>
      </c>
      <c r="F147" s="50" t="s">
        <v>426</v>
      </c>
      <c r="G147" s="50" t="s">
        <v>484</v>
      </c>
      <c r="H147" s="50"/>
      <c r="I147" s="50"/>
      <c r="J147" s="50" t="s">
        <v>485</v>
      </c>
      <c r="K147" s="50" t="s">
        <v>485</v>
      </c>
      <c r="L147" s="42" t="s">
        <v>56</v>
      </c>
      <c r="T147" s="10" t="s">
        <v>483</v>
      </c>
      <c r="U147" s="47" t="s">
        <v>487</v>
      </c>
      <c r="X147" t="s">
        <v>491</v>
      </c>
      <c r="Y147" t="s">
        <v>64</v>
      </c>
      <c r="AE147" t="s">
        <v>236</v>
      </c>
    </row>
    <row r="148" spans="1:31" x14ac:dyDescent="0.2">
      <c r="C148" s="10" t="s">
        <v>418</v>
      </c>
      <c r="D148" t="s">
        <v>473</v>
      </c>
      <c r="E148" s="42" t="s">
        <v>492</v>
      </c>
      <c r="F148" s="42" t="s">
        <v>426</v>
      </c>
      <c r="G148" s="42" t="s">
        <v>343</v>
      </c>
      <c r="J148" t="s">
        <v>493</v>
      </c>
      <c r="K148" s="42" t="s">
        <v>492</v>
      </c>
      <c r="L148" s="44" t="s">
        <v>56</v>
      </c>
      <c r="T148" t="s">
        <v>492</v>
      </c>
      <c r="U148" t="s">
        <v>494</v>
      </c>
      <c r="X148" t="s">
        <v>495</v>
      </c>
      <c r="Y148" t="s">
        <v>64</v>
      </c>
      <c r="AE148" t="s">
        <v>236</v>
      </c>
    </row>
    <row r="152" spans="1:31" s="42" customFormat="1" x14ac:dyDescent="0.2">
      <c r="A152" s="41"/>
      <c r="D152" s="43"/>
      <c r="G152" s="45"/>
      <c r="H152" s="45"/>
      <c r="I152" s="45"/>
      <c r="J152" s="43"/>
    </row>
  </sheetData>
  <mergeCells count="3">
    <mergeCell ref="C1:E1"/>
    <mergeCell ref="F1:Q1"/>
    <mergeCell ref="S1:AD1"/>
  </mergeCells>
  <dataValidations disablePrompts="1" count="1">
    <dataValidation allowBlank="1" showErrorMessage="1" promptTitle="TRAFO" prompt="$D$1:$D$8175" sqref="J140:K143" xr:uid="{83B409BC-7808-F94C-8F59-3FD3C5FC8641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2371-B349-DD41-AB01-6FF3B434AB47}">
  <dimension ref="A1:AK5"/>
  <sheetViews>
    <sheetView zoomScale="120" zoomScaleNormal="120" workbookViewId="0">
      <pane ySplit="1280" activePane="bottomLeft"/>
      <selection activeCell="K2" sqref="K2"/>
      <selection pane="bottomLeft" activeCell="B13" sqref="B13"/>
    </sheetView>
  </sheetViews>
  <sheetFormatPr baseColWidth="10" defaultRowHeight="16" x14ac:dyDescent="0.2"/>
  <cols>
    <col min="4" max="4" width="32" bestFit="1" customWidth="1"/>
    <col min="5" max="5" width="39.83203125" bestFit="1" customWidth="1"/>
    <col min="6" max="6" width="18.1640625" bestFit="1" customWidth="1"/>
    <col min="8" max="8" width="12.33203125" bestFit="1" customWidth="1"/>
    <col min="9" max="9" width="30.33203125" customWidth="1"/>
    <col min="10" max="10" width="9.33203125" customWidth="1"/>
    <col min="11" max="11" width="14.6640625" bestFit="1" customWidth="1"/>
    <col min="12" max="12" width="14.33203125" bestFit="1" customWidth="1"/>
    <col min="13" max="13" width="17.1640625" bestFit="1" customWidth="1"/>
    <col min="15" max="15" width="18.1640625" bestFit="1" customWidth="1"/>
    <col min="16" max="16" width="11.83203125" customWidth="1"/>
    <col min="18" max="18" width="22.83203125" bestFit="1" customWidth="1"/>
    <col min="19" max="19" width="22" bestFit="1" customWidth="1"/>
    <col min="20" max="20" width="20.5" customWidth="1"/>
    <col min="21" max="23" width="13.1640625" customWidth="1"/>
    <col min="24" max="24" width="5.1640625" bestFit="1" customWidth="1"/>
    <col min="25" max="25" width="7" bestFit="1" customWidth="1"/>
    <col min="26" max="26" width="7" customWidth="1"/>
    <col min="27" max="27" width="6.1640625" bestFit="1" customWidth="1"/>
    <col min="32" max="32" width="16.5" bestFit="1" customWidth="1"/>
    <col min="34" max="34" width="19.1640625" bestFit="1" customWidth="1"/>
  </cols>
  <sheetData>
    <row r="1" spans="1:37" s="3" customFormat="1" x14ac:dyDescent="0.2">
      <c r="A1" s="7"/>
      <c r="B1" s="7"/>
      <c r="C1" s="38" t="s">
        <v>9</v>
      </c>
      <c r="D1" s="38"/>
      <c r="E1" s="38"/>
      <c r="F1" s="39" t="s">
        <v>14</v>
      </c>
      <c r="G1" s="39"/>
      <c r="H1" s="39"/>
      <c r="I1" s="39"/>
      <c r="J1" s="39"/>
      <c r="K1" s="39"/>
      <c r="L1" s="39"/>
      <c r="M1" s="39"/>
      <c r="N1" s="39"/>
      <c r="O1" s="39"/>
      <c r="P1" s="2"/>
      <c r="Q1" s="40" t="s">
        <v>317</v>
      </c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spans="1:37" s="1" customFormat="1" x14ac:dyDescent="0.2">
      <c r="A2" s="8" t="s">
        <v>6</v>
      </c>
      <c r="B2" s="8" t="s">
        <v>293</v>
      </c>
      <c r="C2" s="1" t="s">
        <v>0</v>
      </c>
      <c r="D2" s="1" t="s">
        <v>1</v>
      </c>
      <c r="E2" s="1" t="s">
        <v>2</v>
      </c>
      <c r="F2" s="1" t="s">
        <v>13</v>
      </c>
      <c r="G2" s="1" t="s">
        <v>12</v>
      </c>
      <c r="H2" s="1" t="s">
        <v>26</v>
      </c>
      <c r="I2" s="1" t="s">
        <v>28</v>
      </c>
      <c r="J2" s="1" t="s">
        <v>10</v>
      </c>
      <c r="K2" s="1" t="s">
        <v>77</v>
      </c>
      <c r="L2" s="1" t="s">
        <v>49</v>
      </c>
      <c r="M2" s="1" t="s">
        <v>135</v>
      </c>
      <c r="N2" s="1" t="s">
        <v>50</v>
      </c>
      <c r="O2" s="1" t="s">
        <v>51</v>
      </c>
      <c r="P2" s="1" t="s">
        <v>63</v>
      </c>
      <c r="Q2" s="1" t="s">
        <v>7</v>
      </c>
      <c r="R2" s="1" t="s">
        <v>8</v>
      </c>
      <c r="S2" s="1" t="s">
        <v>40</v>
      </c>
      <c r="T2" s="1" t="s">
        <v>42</v>
      </c>
      <c r="U2" s="1" t="s">
        <v>41</v>
      </c>
      <c r="V2" s="1" t="s">
        <v>52</v>
      </c>
      <c r="W2" s="1" t="s">
        <v>65</v>
      </c>
      <c r="X2" s="1" t="s">
        <v>36</v>
      </c>
      <c r="Y2" s="1" t="s">
        <v>39</v>
      </c>
      <c r="Z2" s="1" t="s">
        <v>287</v>
      </c>
      <c r="AA2" s="1" t="s">
        <v>33</v>
      </c>
      <c r="AB2" s="1" t="s">
        <v>45</v>
      </c>
      <c r="AC2" s="1" t="s">
        <v>54</v>
      </c>
      <c r="AD2" s="1" t="s">
        <v>66</v>
      </c>
      <c r="AE2" s="1" t="s">
        <v>151</v>
      </c>
      <c r="AF2" s="1" t="s">
        <v>223</v>
      </c>
      <c r="AG2" s="1" t="s">
        <v>224</v>
      </c>
      <c r="AH2" s="1" t="s">
        <v>122</v>
      </c>
      <c r="AI2" s="1" t="s">
        <v>177</v>
      </c>
      <c r="AJ2" s="1" t="s">
        <v>196</v>
      </c>
      <c r="AK2" s="1" t="s">
        <v>266</v>
      </c>
    </row>
    <row r="3" spans="1:37" x14ac:dyDescent="0.2">
      <c r="B3" s="12" t="s">
        <v>411</v>
      </c>
      <c r="C3" t="s">
        <v>3</v>
      </c>
      <c r="D3" t="s">
        <v>394</v>
      </c>
      <c r="E3" t="s">
        <v>395</v>
      </c>
      <c r="F3" t="s">
        <v>408</v>
      </c>
      <c r="G3" t="s">
        <v>131</v>
      </c>
      <c r="H3" t="s">
        <v>391</v>
      </c>
      <c r="I3" t="s">
        <v>392</v>
      </c>
      <c r="J3" t="s">
        <v>11</v>
      </c>
      <c r="K3" t="s">
        <v>11</v>
      </c>
      <c r="S3" s="9" t="s">
        <v>390</v>
      </c>
      <c r="V3" t="s">
        <v>53</v>
      </c>
    </row>
    <row r="4" spans="1:37" x14ac:dyDescent="0.2">
      <c r="B4" s="12"/>
      <c r="C4" t="s">
        <v>3</v>
      </c>
      <c r="D4" t="s">
        <v>394</v>
      </c>
      <c r="E4" t="s">
        <v>395</v>
      </c>
      <c r="F4" t="s">
        <v>408</v>
      </c>
      <c r="G4" t="s">
        <v>61</v>
      </c>
      <c r="H4" t="s">
        <v>391</v>
      </c>
      <c r="I4" t="s">
        <v>393</v>
      </c>
      <c r="J4" t="s">
        <v>11</v>
      </c>
      <c r="K4" t="s">
        <v>56</v>
      </c>
      <c r="S4" s="9" t="s">
        <v>410</v>
      </c>
    </row>
    <row r="5" spans="1:37" x14ac:dyDescent="0.2">
      <c r="B5" s="12" t="s">
        <v>412</v>
      </c>
      <c r="C5" s="12"/>
      <c r="D5" s="12"/>
      <c r="E5" s="12"/>
    </row>
  </sheetData>
  <mergeCells count="3">
    <mergeCell ref="C1:E1"/>
    <mergeCell ref="F1:O1"/>
    <mergeCell ref="Q1:A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figures</vt:lpstr>
      <vt:lpstr>parking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2024-07-03T16:23:03Z</dcterms:created>
  <dcterms:modified xsi:type="dcterms:W3CDTF">2025-10-29T07:53:31Z</dcterms:modified>
</cp:coreProperties>
</file>